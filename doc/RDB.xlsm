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2080" windowHeight="10080"/>
  </bookViews>
  <sheets>
    <sheet name="RDB" sheetId="3" r:id="rId1"/>
    <sheet name="Tables" sheetId="1" r:id="rId2"/>
    <sheet name="Definition" sheetId="2" r:id="rId3"/>
  </sheets>
  <definedNames>
    <definedName name="COLUMN">Tables!#REF!</definedName>
    <definedName name="CREATE">Tables!#REF!</definedName>
    <definedName name="DROP">Tables!#REF!</definedName>
    <definedName name="INSERT">Tables!#REF!</definedName>
    <definedName name="SELECT">Tables!#REF!</definedName>
    <definedName name="TITLE">Tables!#REF!</definedName>
    <definedName name="UPDATE">Tables!#REF!</definedName>
    <definedName name="型">Definition!$A$2:$A$7</definedName>
    <definedName name="制約">Definition!$B$2:$B$4</definedName>
  </definedNames>
  <calcPr calcId="145621"/>
</workbook>
</file>

<file path=xl/calcChain.xml><?xml version="1.0" encoding="utf-8"?>
<calcChain xmlns="http://schemas.openxmlformats.org/spreadsheetml/2006/main">
  <c r="O4" i="1" l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/>
  <c r="O3" i="1"/>
  <c r="N3" i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4" i="1"/>
  <c r="M3" i="1"/>
  <c r="L5" i="1"/>
  <c r="L6" i="1"/>
  <c r="L7" i="1"/>
  <c r="L8" i="1"/>
  <c r="L9" i="1" s="1"/>
  <c r="L10" i="1" s="1"/>
  <c r="L11" i="1" s="1"/>
  <c r="L12" i="1" s="1"/>
  <c r="L13" i="1" s="1"/>
  <c r="L14" i="1" s="1"/>
  <c r="L15" i="1" s="1"/>
  <c r="L16" i="1" s="1"/>
  <c r="L17" i="1" s="1"/>
  <c r="L4" i="1"/>
  <c r="L3" i="1"/>
  <c r="J5" i="1"/>
  <c r="J6" i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4" i="1"/>
  <c r="K3" i="1"/>
  <c r="J3" i="1"/>
</calcChain>
</file>

<file path=xl/sharedStrings.xml><?xml version="1.0" encoding="utf-8"?>
<sst xmlns="http://schemas.openxmlformats.org/spreadsheetml/2006/main" count="162" uniqueCount="116">
  <si>
    <t>ユーザー</t>
    <phoneticPr fontId="3"/>
  </si>
  <si>
    <t>型</t>
    <rPh sb="0" eb="1">
      <t>カタ</t>
    </rPh>
    <phoneticPr fontId="3"/>
  </si>
  <si>
    <t>制約</t>
    <rPh sb="0" eb="2">
      <t>セイヤク</t>
    </rPh>
    <phoneticPr fontId="3"/>
  </si>
  <si>
    <t>和名</t>
    <rPh sb="0" eb="1">
      <t>ワ</t>
    </rPh>
    <rPh sb="1" eb="2">
      <t>メイ</t>
    </rPh>
    <phoneticPr fontId="3"/>
  </si>
  <si>
    <t>英名</t>
    <rPh sb="0" eb="1">
      <t>エイ</t>
    </rPh>
    <rPh sb="1" eb="2">
      <t>メイ</t>
    </rPh>
    <phoneticPr fontId="3"/>
  </si>
  <si>
    <t>テーブル1</t>
    <phoneticPr fontId="3"/>
  </si>
  <si>
    <t>SQL</t>
    <phoneticPr fontId="3"/>
  </si>
  <si>
    <t>TEXT</t>
  </si>
  <si>
    <t>TEXT</t>
    <phoneticPr fontId="3"/>
  </si>
  <si>
    <t>NUMERIC</t>
    <phoneticPr fontId="3"/>
  </si>
  <si>
    <t>INTEGER</t>
    <phoneticPr fontId="3"/>
  </si>
  <si>
    <t>REAL</t>
    <phoneticPr fontId="3"/>
  </si>
  <si>
    <t>NONE</t>
    <phoneticPr fontId="3"/>
  </si>
  <si>
    <t>group_id</t>
    <phoneticPr fontId="3"/>
  </si>
  <si>
    <t>user_id</t>
  </si>
  <si>
    <t>project_id</t>
    <phoneticPr fontId="3"/>
  </si>
  <si>
    <t>project_id, id</t>
    <phoneticPr fontId="3"/>
  </si>
  <si>
    <t>project_id, id</t>
    <phoneticPr fontId="3"/>
  </si>
  <si>
    <t>project_id, id</t>
    <phoneticPr fontId="3"/>
  </si>
  <si>
    <t>id</t>
  </si>
  <si>
    <t>id</t>
    <phoneticPr fontId="3"/>
  </si>
  <si>
    <t>id</t>
    <phoneticPr fontId="3"/>
  </si>
  <si>
    <t>* 外部キーは「(相手テーブル名)+"_id"」とする</t>
    <rPh sb="2" eb="4">
      <t>ガイブ</t>
    </rPh>
    <rPh sb="9" eb="11">
      <t>アイテ</t>
    </rPh>
    <rPh sb="15" eb="16">
      <t>メイ</t>
    </rPh>
    <phoneticPr fontId="3"/>
  </si>
  <si>
    <t>userはgroupに属する。</t>
    <rPh sb="11" eb="12">
      <t>ゾク</t>
    </rPh>
    <phoneticPr fontId="3"/>
  </si>
  <si>
    <t>userおよびgroupは独立して存在するためPKは自身のidのみとなる。</t>
    <rPh sb="13" eb="15">
      <t>ドクリツ</t>
    </rPh>
    <rPh sb="17" eb="19">
      <t>ソンザイ</t>
    </rPh>
    <rPh sb="26" eb="28">
      <t>ジシン</t>
    </rPh>
    <phoneticPr fontId="3"/>
  </si>
  <si>
    <t>userおよびgroupはprojectに属する。</t>
    <rPh sb="21" eb="22">
      <t>ゾク</t>
    </rPh>
    <phoneticPr fontId="3"/>
  </si>
  <si>
    <t>すべての機能テーブルはprojectごとにユニークに存在するため、各テーブルのPKはproject_idと自身のidの複合キーとなる。</t>
    <rPh sb="4" eb="6">
      <t>キノウ</t>
    </rPh>
    <rPh sb="26" eb="28">
      <t>ソンザイ</t>
    </rPh>
    <rPh sb="33" eb="34">
      <t>カク</t>
    </rPh>
    <rPh sb="53" eb="55">
      <t>ジシン</t>
    </rPh>
    <rPh sb="59" eb="61">
      <t>フクゴウ</t>
    </rPh>
    <phoneticPr fontId="3"/>
  </si>
  <si>
    <t>NUMERIC</t>
    <phoneticPr fontId="3"/>
  </si>
  <si>
    <t>ユーザID</t>
  </si>
  <si>
    <t>パスワード</t>
  </si>
  <si>
    <t>パスワードログ1</t>
  </si>
  <si>
    <t>パスワードログ2</t>
  </si>
  <si>
    <t>パスワードログ3</t>
  </si>
  <si>
    <t>created_at</t>
  </si>
  <si>
    <t>updated_at</t>
  </si>
  <si>
    <t>作成日時</t>
  </si>
  <si>
    <t>更新日時</t>
  </si>
  <si>
    <t>lost_logined_at</t>
  </si>
  <si>
    <t>制約1</t>
    <rPh sb="0" eb="2">
      <t>セイヤク</t>
    </rPh>
    <phoneticPr fontId="3"/>
  </si>
  <si>
    <t>制約2</t>
    <rPh sb="0" eb="2">
      <t>セイヤク</t>
    </rPh>
    <phoneticPr fontId="3"/>
  </si>
  <si>
    <t>制約3</t>
    <rPh sb="0" eb="2">
      <t>セイヤク</t>
    </rPh>
    <phoneticPr fontId="3"/>
  </si>
  <si>
    <t>制約4</t>
    <rPh sb="0" eb="2">
      <t>セイヤク</t>
    </rPh>
    <phoneticPr fontId="3"/>
  </si>
  <si>
    <t>password</t>
  </si>
  <si>
    <t>password_log1</t>
  </si>
  <si>
    <t>password_log2</t>
  </si>
  <si>
    <t>password_log3</t>
  </si>
  <si>
    <t>最終ログイン日時</t>
  </si>
  <si>
    <t>user</t>
    <phoneticPr fontId="3"/>
  </si>
  <si>
    <t>メールアドレス</t>
  </si>
  <si>
    <t>e_mail</t>
  </si>
  <si>
    <t>CHECK(expression)</t>
    <phoneticPr fontId="3"/>
  </si>
  <si>
    <t>DEFAULT value</t>
    <phoneticPr fontId="3"/>
  </si>
  <si>
    <t>UNIQUE</t>
    <phoneticPr fontId="3"/>
  </si>
  <si>
    <t>NOT NULL</t>
    <phoneticPr fontId="3"/>
  </si>
  <si>
    <t>○</t>
    <phoneticPr fontId="3"/>
  </si>
  <si>
    <t>first_name</t>
  </si>
  <si>
    <t>middle_name</t>
  </si>
  <si>
    <t>family_name</t>
  </si>
  <si>
    <t>性</t>
  </si>
  <si>
    <t>名</t>
  </si>
  <si>
    <t>ミドルネーム</t>
  </si>
  <si>
    <t>表示名</t>
  </si>
  <si>
    <t>display_name</t>
  </si>
  <si>
    <t>DEFAULT datetime('now')</t>
    <phoneticPr fontId="3"/>
  </si>
  <si>
    <t>ID</t>
    <phoneticPr fontId="3"/>
  </si>
  <si>
    <t>OPTIONAL</t>
    <phoneticPr fontId="3"/>
  </si>
  <si>
    <t>);</t>
    <phoneticPr fontId="3"/>
  </si>
  <si>
    <t>詳細</t>
    <rPh sb="0" eb="2">
      <t>ショウサイ</t>
    </rPh>
    <phoneticPr fontId="3"/>
  </si>
  <si>
    <t>CREATE</t>
    <phoneticPr fontId="3"/>
  </si>
  <si>
    <t>SELECT</t>
    <phoneticPr fontId="3"/>
  </si>
  <si>
    <t>DROP</t>
    <phoneticPr fontId="3"/>
  </si>
  <si>
    <t>INSERT</t>
    <phoneticPr fontId="3"/>
  </si>
  <si>
    <t>) values (...);</t>
    <phoneticPr fontId="3"/>
  </si>
  <si>
    <t>UPDATE</t>
    <phoneticPr fontId="3"/>
  </si>
  <si>
    <t>DELETE</t>
    <phoneticPr fontId="3"/>
  </si>
  <si>
    <t>SELECT</t>
    <phoneticPr fontId="3"/>
  </si>
  <si>
    <t xml:space="preserve"> WHERE ...;</t>
    <phoneticPr fontId="3"/>
  </si>
  <si>
    <t>user_id</t>
    <phoneticPr fontId="3"/>
  </si>
  <si>
    <t>基本テーブル構成</t>
    <rPh sb="0" eb="2">
      <t>キホン</t>
    </rPh>
    <rPh sb="6" eb="8">
      <t>コウセイ</t>
    </rPh>
    <phoneticPr fontId="3"/>
  </si>
  <si>
    <t>詳細情報テーブル構成</t>
    <rPh sb="0" eb="2">
      <t>ショウサイ</t>
    </rPh>
    <rPh sb="2" eb="4">
      <t>ジョウホウ</t>
    </rPh>
    <rPh sb="8" eb="10">
      <t>コウセイ</t>
    </rPh>
    <phoneticPr fontId="3"/>
  </si>
  <si>
    <t>user_id, id</t>
    <phoneticPr fontId="3"/>
  </si>
  <si>
    <t>group_id, id</t>
    <phoneticPr fontId="3"/>
  </si>
  <si>
    <t>すべての詳細テーブルは対象となるuser, group, projectごとにユニークに存在するため、各テーブルのPKはproject_idと自身のidの複合キーとなる。</t>
    <rPh sb="4" eb="6">
      <t>ショウサイ</t>
    </rPh>
    <rPh sb="11" eb="13">
      <t>タイショウ</t>
    </rPh>
    <rPh sb="44" eb="46">
      <t>ソンザイ</t>
    </rPh>
    <rPh sb="51" eb="52">
      <t>カク</t>
    </rPh>
    <rPh sb="71" eb="73">
      <t>ジシン</t>
    </rPh>
    <rPh sb="77" eb="79">
      <t>フクゴウ</t>
    </rPh>
    <phoneticPr fontId="3"/>
  </si>
  <si>
    <t>project</t>
    <phoneticPr fontId="3"/>
  </si>
  <si>
    <t>group</t>
    <phoneticPr fontId="3"/>
  </si>
  <si>
    <t>user</t>
    <phoneticPr fontId="3"/>
  </si>
  <si>
    <t>user_profile</t>
    <phoneticPr fontId="3"/>
  </si>
  <si>
    <t>feature</t>
    <phoneticPr fontId="3"/>
  </si>
  <si>
    <t>id</t>
    <phoneticPr fontId="3"/>
  </si>
  <si>
    <t>name</t>
    <phoneticPr fontId="3"/>
  </si>
  <si>
    <t>name</t>
    <phoneticPr fontId="3"/>
  </si>
  <si>
    <t>user_id</t>
    <phoneticPr fontId="3"/>
  </si>
  <si>
    <t>key</t>
    <phoneticPr fontId="3"/>
  </si>
  <si>
    <t>value</t>
    <phoneticPr fontId="3"/>
  </si>
  <si>
    <t>password</t>
    <phoneticPr fontId="3"/>
  </si>
  <si>
    <t>ex_project_id</t>
    <phoneticPr fontId="3"/>
  </si>
  <si>
    <t>ex_project_id</t>
    <phoneticPr fontId="3"/>
  </si>
  <si>
    <t>ex_group_id</t>
    <phoneticPr fontId="3"/>
  </si>
  <si>
    <t>ex_user_id</t>
    <phoneticPr fontId="3"/>
  </si>
  <si>
    <t>ex_project_id</t>
    <phoneticPr fontId="3"/>
  </si>
  <si>
    <t>group_profile</t>
    <phoneticPr fontId="3"/>
  </si>
  <si>
    <t>project_profile</t>
    <phoneticPr fontId="3"/>
  </si>
  <si>
    <t>ex_project_id</t>
    <phoneticPr fontId="3"/>
  </si>
  <si>
    <t>ex_group_id</t>
    <phoneticPr fontId="3"/>
  </si>
  <si>
    <t>ex_feature_id</t>
    <phoneticPr fontId="3"/>
  </si>
  <si>
    <t>feature_profile</t>
    <phoneticPr fontId="3"/>
  </si>
  <si>
    <t>テーブル関連図</t>
    <rPh sb="4" eb="6">
      <t>カンレン</t>
    </rPh>
    <rPh sb="6" eb="7">
      <t>ズ</t>
    </rPh>
    <phoneticPr fontId="3"/>
  </si>
  <si>
    <t>各profileはKey/Value形式で汎用化されたデータを持つ。</t>
    <rPh sb="0" eb="1">
      <t>カク</t>
    </rPh>
    <rPh sb="18" eb="20">
      <t>ケイシキ</t>
    </rPh>
    <rPh sb="21" eb="24">
      <t>ハンヨウカ</t>
    </rPh>
    <rPh sb="31" eb="32">
      <t>モ</t>
    </rPh>
    <phoneticPr fontId="3"/>
  </si>
  <si>
    <t>feature_id</t>
    <phoneticPr fontId="3"/>
  </si>
  <si>
    <t>feature_id, id</t>
    <phoneticPr fontId="3"/>
  </si>
  <si>
    <t>project_id, id</t>
    <phoneticPr fontId="3"/>
  </si>
  <si>
    <t>→機能ごとにテーブルを分けるか汎用テーブル（feature）をつくるか検討</t>
    <rPh sb="1" eb="3">
      <t>キノウ</t>
    </rPh>
    <rPh sb="11" eb="12">
      <t>ワ</t>
    </rPh>
    <rPh sb="15" eb="17">
      <t>ハンヨウ</t>
    </rPh>
    <rPh sb="35" eb="37">
      <t>ケントウ</t>
    </rPh>
    <phoneticPr fontId="3"/>
  </si>
  <si>
    <t>feature_type</t>
    <phoneticPr fontId="3"/>
  </si>
  <si>
    <t>idが0123456の場合</t>
    <rPh sb="11" eb="13">
      <t>バアイ</t>
    </rPh>
    <phoneticPr fontId="3"/>
  </si>
  <si>
    <t>http://xxxx/0123456</t>
    <phoneticPr fontId="3"/>
  </si>
  <si>
    <t>でアクセスさせる想定。</t>
    <rPh sb="8" eb="10">
      <t>ソウテイ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</si>
</sst>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theme="1"/>
      <name val="ＭＳ Ｐゴシック"/>
      <family val="2"/>
      <charset val="128"/>
      <scheme val="minor"/>
    </font>
    <font>
      <sz val="10"/>
      <color rgb="FFFF0000"/>
      <name val="ＭＳ Ｐゴシック"/>
      <family val="2"/>
      <charset val="128"/>
      <scheme val="minor"/>
    </font>
    <font>
      <sz val="10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8"/>
      <color theme="0"/>
      <name val="Migu 2M"/>
      <family val="3"/>
      <charset val="128"/>
    </font>
    <font>
      <sz val="8"/>
      <color theme="1"/>
      <name val="Migu 2M"/>
      <family val="3"/>
      <charset val="128"/>
    </font>
    <font>
      <sz val="9"/>
      <color theme="1"/>
      <name val="Migu 2M"/>
      <family val="3"/>
      <charset val="128"/>
    </font>
    <font>
      <i/>
      <sz val="8"/>
      <color theme="0" tint="-4.9989318521683403E-2"/>
      <name val="Migu 2M"/>
      <family val="3"/>
      <charset val="128"/>
    </font>
    <font>
      <b/>
      <sz val="8"/>
      <color theme="0" tint="-4.9989318521683403E-2"/>
      <name val="Migu 2M"/>
      <family val="3"/>
      <charset val="128"/>
    </font>
    <font>
      <i/>
      <sz val="8"/>
      <color theme="0"/>
      <name val="Migu 2M"/>
      <family val="3"/>
      <charset val="128"/>
    </font>
    <font>
      <sz val="9"/>
      <name val="Migu 2M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0"/>
      <color rgb="FFFF0000"/>
      <name val="Calibri"/>
      <family val="2"/>
    </font>
    <font>
      <sz val="10"/>
      <color theme="6" tint="-0.499984740745262"/>
      <name val="Calibri"/>
      <family val="2"/>
    </font>
    <font>
      <sz val="10"/>
      <name val="Calibri"/>
      <family val="2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2" fillId="3" borderId="6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textRotation="90"/>
    </xf>
    <xf numFmtId="0" fontId="6" fillId="5" borderId="9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6" borderId="16" xfId="0" applyFont="1" applyFill="1" applyBorder="1" applyAlignment="1">
      <alignment vertical="center" shrinkToFit="1"/>
    </xf>
    <xf numFmtId="0" fontId="5" fillId="6" borderId="6" xfId="0" applyFont="1" applyFill="1" applyBorder="1" applyAlignment="1">
      <alignment vertical="center" shrinkToFit="1"/>
    </xf>
    <xf numFmtId="0" fontId="5" fillId="6" borderId="6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textRotation="90"/>
    </xf>
    <xf numFmtId="0" fontId="6" fillId="0" borderId="18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10" fillId="0" borderId="22" xfId="0" applyFont="1" applyFill="1" applyBorder="1" applyAlignment="1">
      <alignment horizontal="center" vertical="center"/>
    </xf>
    <xf numFmtId="0" fontId="10" fillId="0" borderId="22" xfId="0" applyNumberFormat="1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6" borderId="7" xfId="0" applyFont="1" applyFill="1" applyBorder="1" applyAlignment="1">
      <alignment vertical="center" shrinkToFit="1"/>
    </xf>
    <xf numFmtId="0" fontId="6" fillId="0" borderId="7" xfId="0" applyFont="1" applyBorder="1" applyAlignment="1">
      <alignment vertical="center" shrinkToFit="1"/>
    </xf>
    <xf numFmtId="0" fontId="5" fillId="0" borderId="7" xfId="0" applyFont="1" applyBorder="1" applyAlignment="1">
      <alignment vertical="center" shrinkToFit="1"/>
    </xf>
    <xf numFmtId="0" fontId="5" fillId="6" borderId="7" xfId="0" applyFont="1" applyFill="1" applyBorder="1" applyAlignment="1">
      <alignment vertical="center"/>
    </xf>
    <xf numFmtId="0" fontId="10" fillId="0" borderId="20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0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6" fillId="0" borderId="2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10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0" xfId="0" applyNumberFormat="1" applyFont="1" applyBorder="1" applyAlignment="1">
      <alignment horizontal="center" vertical="center" textRotation="90"/>
    </xf>
    <xf numFmtId="0" fontId="6" fillId="3" borderId="20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0" xfId="0" applyNumberFormat="1" applyFont="1" applyFill="1" applyBorder="1" applyAlignment="1">
      <alignment horizontal="center" vertical="center"/>
    </xf>
    <xf numFmtId="0" fontId="6" fillId="3" borderId="10" xfId="0" applyNumberFormat="1" applyFont="1" applyFill="1" applyBorder="1" applyAlignment="1">
      <alignment horizontal="center" vertical="center" textRotation="90"/>
    </xf>
    <xf numFmtId="0" fontId="6" fillId="3" borderId="21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vertical="center" shrinkToFit="1"/>
    </xf>
    <xf numFmtId="0" fontId="6" fillId="0" borderId="8" xfId="0" applyFont="1" applyBorder="1" applyAlignment="1">
      <alignment vertical="center" shrinkToFit="1"/>
    </xf>
    <xf numFmtId="0" fontId="5" fillId="6" borderId="8" xfId="0" applyFont="1" applyFill="1" applyBorder="1" applyAlignment="1">
      <alignment vertical="center" shrinkToFit="1"/>
    </xf>
    <xf numFmtId="0" fontId="5" fillId="0" borderId="8" xfId="0" applyFont="1" applyBorder="1" applyAlignment="1">
      <alignment vertical="center" shrinkToFit="1"/>
    </xf>
    <xf numFmtId="0" fontId="5" fillId="6" borderId="8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49" fontId="1" fillId="0" borderId="0" xfId="0" applyNumberFormat="1" applyFont="1">
      <alignment vertical="center"/>
    </xf>
    <xf numFmtId="49" fontId="11" fillId="0" borderId="0" xfId="0" applyNumberFormat="1" applyFont="1">
      <alignment vertical="center"/>
    </xf>
    <xf numFmtId="49" fontId="12" fillId="0" borderId="0" xfId="0" applyNumberFormat="1" applyFont="1">
      <alignment vertical="center"/>
    </xf>
    <xf numFmtId="49" fontId="13" fillId="7" borderId="16" xfId="0" applyNumberFormat="1" applyFont="1" applyFill="1" applyBorder="1">
      <alignment vertical="center"/>
    </xf>
    <xf numFmtId="49" fontId="13" fillId="7" borderId="13" xfId="0" applyNumberFormat="1" applyFont="1" applyFill="1" applyBorder="1">
      <alignment vertical="center"/>
    </xf>
    <xf numFmtId="49" fontId="13" fillId="7" borderId="4" xfId="0" applyNumberFormat="1" applyFont="1" applyFill="1" applyBorder="1">
      <alignment vertical="center"/>
    </xf>
    <xf numFmtId="49" fontId="13" fillId="7" borderId="15" xfId="0" applyNumberFormat="1" applyFont="1" applyFill="1" applyBorder="1">
      <alignment vertical="center"/>
    </xf>
    <xf numFmtId="49" fontId="14" fillId="4" borderId="3" xfId="0" applyNumberFormat="1" applyFont="1" applyFill="1" applyBorder="1">
      <alignment vertical="center"/>
    </xf>
    <xf numFmtId="49" fontId="14" fillId="4" borderId="13" xfId="0" applyNumberFormat="1" applyFont="1" applyFill="1" applyBorder="1">
      <alignment vertical="center"/>
    </xf>
    <xf numFmtId="49" fontId="14" fillId="4" borderId="4" xfId="0" applyNumberFormat="1" applyFont="1" applyFill="1" applyBorder="1">
      <alignment vertical="center"/>
    </xf>
    <xf numFmtId="49" fontId="15" fillId="6" borderId="3" xfId="0" applyNumberFormat="1" applyFont="1" applyFill="1" applyBorder="1">
      <alignment vertical="center"/>
    </xf>
    <xf numFmtId="49" fontId="15" fillId="6" borderId="13" xfId="0" applyNumberFormat="1" applyFont="1" applyFill="1" applyBorder="1">
      <alignment vertical="center"/>
    </xf>
    <xf numFmtId="49" fontId="15" fillId="6" borderId="4" xfId="0" applyNumberFormat="1" applyFont="1" applyFill="1" applyBorder="1">
      <alignment vertical="center"/>
    </xf>
    <xf numFmtId="49" fontId="12" fillId="0" borderId="3" xfId="0" applyNumberFormat="1" applyFont="1" applyBorder="1">
      <alignment vertical="center"/>
    </xf>
    <xf numFmtId="49" fontId="12" fillId="0" borderId="13" xfId="0" applyNumberFormat="1" applyFont="1" applyBorder="1">
      <alignment vertical="center"/>
    </xf>
    <xf numFmtId="49" fontId="12" fillId="0" borderId="4" xfId="0" applyNumberFormat="1" applyFont="1" applyBorder="1">
      <alignment vertical="center"/>
    </xf>
    <xf numFmtId="49" fontId="13" fillId="7" borderId="17" xfId="0" applyNumberFormat="1" applyFont="1" applyFill="1" applyBorder="1">
      <alignment vertical="center"/>
    </xf>
    <xf numFmtId="49" fontId="12" fillId="0" borderId="0" xfId="0" applyNumberFormat="1" applyFont="1" applyBorder="1">
      <alignment vertical="center"/>
    </xf>
    <xf numFmtId="49" fontId="16" fillId="8" borderId="3" xfId="0" applyNumberFormat="1" applyFont="1" applyFill="1" applyBorder="1">
      <alignment vertical="center"/>
    </xf>
    <xf numFmtId="49" fontId="16" fillId="8" borderId="13" xfId="0" applyNumberFormat="1" applyFont="1" applyFill="1" applyBorder="1">
      <alignment vertical="center"/>
    </xf>
    <xf numFmtId="49" fontId="16" fillId="8" borderId="4" xfId="0" applyNumberFormat="1" applyFont="1" applyFill="1" applyBorder="1">
      <alignment vertical="center"/>
    </xf>
    <xf numFmtId="49" fontId="17" fillId="0" borderId="0" xfId="0" applyNumberFormat="1" applyFont="1">
      <alignment vertical="center"/>
    </xf>
    <xf numFmtId="49" fontId="18" fillId="0" borderId="3" xfId="0" applyNumberFormat="1" applyFont="1" applyBorder="1">
      <alignment vertical="center"/>
    </xf>
    <xf numFmtId="49" fontId="18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24</xdr:col>
      <xdr:colOff>190499</xdr:colOff>
      <xdr:row>13</xdr:row>
      <xdr:rowOff>0</xdr:rowOff>
    </xdr:to>
    <xdr:sp macro="" textlink="">
      <xdr:nvSpPr>
        <xdr:cNvPr id="2" name="正方形/長方形 1"/>
        <xdr:cNvSpPr/>
      </xdr:nvSpPr>
      <xdr:spPr>
        <a:xfrm>
          <a:off x="3429000" y="1714500"/>
          <a:ext cx="1333499" cy="3810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project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8</xdr:col>
      <xdr:colOff>190499</xdr:colOff>
      <xdr:row>9</xdr:row>
      <xdr:rowOff>0</xdr:rowOff>
    </xdr:to>
    <xdr:sp macro="" textlink="">
      <xdr:nvSpPr>
        <xdr:cNvPr id="3" name="正方形/長方形 2"/>
        <xdr:cNvSpPr/>
      </xdr:nvSpPr>
      <xdr:spPr>
        <a:xfrm>
          <a:off x="381000" y="952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group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8</xdr:col>
      <xdr:colOff>190499</xdr:colOff>
      <xdr:row>17</xdr:row>
      <xdr:rowOff>0</xdr:rowOff>
    </xdr:to>
    <xdr:sp macro="" textlink="">
      <xdr:nvSpPr>
        <xdr:cNvPr id="4" name="正方形/長方形 3"/>
        <xdr:cNvSpPr/>
      </xdr:nvSpPr>
      <xdr:spPr>
        <a:xfrm>
          <a:off x="381000" y="2476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user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3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5" name="正方形/長方形 4"/>
        <xdr:cNvSpPr/>
      </xdr:nvSpPr>
      <xdr:spPr>
        <a:xfrm>
          <a:off x="6477001" y="190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todo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7</xdr:row>
      <xdr:rowOff>0</xdr:rowOff>
    </xdr:from>
    <xdr:to>
      <xdr:col>41</xdr:col>
      <xdr:colOff>0</xdr:colOff>
      <xdr:row>9</xdr:row>
      <xdr:rowOff>0</xdr:rowOff>
    </xdr:to>
    <xdr:sp macro="" textlink="">
      <xdr:nvSpPr>
        <xdr:cNvPr id="6" name="正方形/長方形 5"/>
        <xdr:cNvSpPr/>
      </xdr:nvSpPr>
      <xdr:spPr>
        <a:xfrm>
          <a:off x="6477001" y="952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forum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11</xdr:row>
      <xdr:rowOff>0</xdr:rowOff>
    </xdr:from>
    <xdr:to>
      <xdr:col>41</xdr:col>
      <xdr:colOff>0</xdr:colOff>
      <xdr:row>13</xdr:row>
      <xdr:rowOff>0</xdr:rowOff>
    </xdr:to>
    <xdr:sp macro="" textlink="">
      <xdr:nvSpPr>
        <xdr:cNvPr id="7" name="正方形/長方形 6"/>
        <xdr:cNvSpPr/>
      </xdr:nvSpPr>
      <xdr:spPr>
        <a:xfrm>
          <a:off x="6477001" y="1714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chat</a:t>
          </a:r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15</xdr:row>
      <xdr:rowOff>0</xdr:rowOff>
    </xdr:from>
    <xdr:to>
      <xdr:col>40</xdr:col>
      <xdr:colOff>190499</xdr:colOff>
      <xdr:row>17</xdr:row>
      <xdr:rowOff>0</xdr:rowOff>
    </xdr:to>
    <xdr:sp macro="" textlink="">
      <xdr:nvSpPr>
        <xdr:cNvPr id="8" name="正方形/長方形 7"/>
        <xdr:cNvSpPr/>
      </xdr:nvSpPr>
      <xdr:spPr>
        <a:xfrm>
          <a:off x="6477000" y="2476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vote</a:t>
          </a:r>
          <a:endParaRPr kumimoji="1" lang="ja-JP" altLang="en-US" sz="1100"/>
        </a:p>
      </xdr:txBody>
    </xdr:sp>
    <xdr:clientData/>
  </xdr:twoCellAnchor>
  <xdr:twoCellAnchor>
    <xdr:from>
      <xdr:col>34</xdr:col>
      <xdr:colOff>1</xdr:colOff>
      <xdr:row>19</xdr:row>
      <xdr:rowOff>0</xdr:rowOff>
    </xdr:from>
    <xdr:to>
      <xdr:col>41</xdr:col>
      <xdr:colOff>0</xdr:colOff>
      <xdr:row>21</xdr:row>
      <xdr:rowOff>0</xdr:rowOff>
    </xdr:to>
    <xdr:sp macro="" textlink="">
      <xdr:nvSpPr>
        <xdr:cNvPr id="9" name="正方形/長方形 8"/>
        <xdr:cNvSpPr/>
      </xdr:nvSpPr>
      <xdr:spPr>
        <a:xfrm>
          <a:off x="6477001" y="32385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file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95250</xdr:colOff>
      <xdr:row>9</xdr:row>
      <xdr:rowOff>0</xdr:rowOff>
    </xdr:from>
    <xdr:to>
      <xdr:col>5</xdr:col>
      <xdr:colOff>95250</xdr:colOff>
      <xdr:row>15</xdr:row>
      <xdr:rowOff>0</xdr:rowOff>
    </xdr:to>
    <xdr:cxnSp macro="">
      <xdr:nvCxnSpPr>
        <xdr:cNvPr id="11" name="直線矢印コネクタ 10"/>
        <xdr:cNvCxnSpPr>
          <a:stCxn id="4" idx="0"/>
          <a:endCxn id="3" idx="2"/>
        </xdr:cNvCxnSpPr>
      </xdr:nvCxnSpPr>
      <xdr:spPr>
        <a:xfrm flipV="1">
          <a:off x="1047750" y="1333500"/>
          <a:ext cx="0" cy="1143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190499</xdr:colOff>
      <xdr:row>8</xdr:row>
      <xdr:rowOff>0</xdr:rowOff>
    </xdr:from>
    <xdr:to>
      <xdr:col>18</xdr:col>
      <xdr:colOff>0</xdr:colOff>
      <xdr:row>12</xdr:row>
      <xdr:rowOff>0</xdr:rowOff>
    </xdr:to>
    <xdr:cxnSp macro="">
      <xdr:nvCxnSpPr>
        <xdr:cNvPr id="13" name="カギ線コネクタ 12"/>
        <xdr:cNvCxnSpPr>
          <a:stCxn id="3" idx="3"/>
          <a:endCxn id="2" idx="1"/>
        </xdr:cNvCxnSpPr>
      </xdr:nvCxnSpPr>
      <xdr:spPr>
        <a:xfrm>
          <a:off x="1714499" y="1143000"/>
          <a:ext cx="1714501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4</xdr:row>
      <xdr:rowOff>0</xdr:rowOff>
    </xdr:from>
    <xdr:to>
      <xdr:col>34</xdr:col>
      <xdr:colOff>1</xdr:colOff>
      <xdr:row>12</xdr:row>
      <xdr:rowOff>0</xdr:rowOff>
    </xdr:to>
    <xdr:cxnSp macro="">
      <xdr:nvCxnSpPr>
        <xdr:cNvPr id="17" name="カギ線コネクタ 16"/>
        <xdr:cNvCxnSpPr>
          <a:stCxn id="5" idx="1"/>
          <a:endCxn id="2" idx="3"/>
        </xdr:cNvCxnSpPr>
      </xdr:nvCxnSpPr>
      <xdr:spPr>
        <a:xfrm rot="10800000" flipV="1">
          <a:off x="4762499" y="381000"/>
          <a:ext cx="1714502" cy="1524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8</xdr:row>
      <xdr:rowOff>0</xdr:rowOff>
    </xdr:from>
    <xdr:to>
      <xdr:col>34</xdr:col>
      <xdr:colOff>1</xdr:colOff>
      <xdr:row>12</xdr:row>
      <xdr:rowOff>0</xdr:rowOff>
    </xdr:to>
    <xdr:cxnSp macro="">
      <xdr:nvCxnSpPr>
        <xdr:cNvPr id="19" name="カギ線コネクタ 18"/>
        <xdr:cNvCxnSpPr>
          <a:stCxn id="6" idx="1"/>
          <a:endCxn id="2" idx="3"/>
        </xdr:cNvCxnSpPr>
      </xdr:nvCxnSpPr>
      <xdr:spPr>
        <a:xfrm rot="10800000" flipV="1">
          <a:off x="4762499" y="1143000"/>
          <a:ext cx="1714502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12</xdr:row>
      <xdr:rowOff>0</xdr:rowOff>
    </xdr:from>
    <xdr:to>
      <xdr:col>34</xdr:col>
      <xdr:colOff>1</xdr:colOff>
      <xdr:row>12</xdr:row>
      <xdr:rowOff>0</xdr:rowOff>
    </xdr:to>
    <xdr:cxnSp macro="">
      <xdr:nvCxnSpPr>
        <xdr:cNvPr id="21" name="直線矢印コネクタ 20"/>
        <xdr:cNvCxnSpPr>
          <a:stCxn id="7" idx="1"/>
          <a:endCxn id="2" idx="3"/>
        </xdr:cNvCxnSpPr>
      </xdr:nvCxnSpPr>
      <xdr:spPr>
        <a:xfrm flipH="1">
          <a:off x="4762499" y="1905000"/>
          <a:ext cx="1714502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12</xdr:row>
      <xdr:rowOff>0</xdr:rowOff>
    </xdr:from>
    <xdr:to>
      <xdr:col>34</xdr:col>
      <xdr:colOff>1</xdr:colOff>
      <xdr:row>16</xdr:row>
      <xdr:rowOff>0</xdr:rowOff>
    </xdr:to>
    <xdr:cxnSp macro="">
      <xdr:nvCxnSpPr>
        <xdr:cNvPr id="23" name="カギ線コネクタ 22"/>
        <xdr:cNvCxnSpPr>
          <a:stCxn id="8" idx="1"/>
          <a:endCxn id="2" idx="3"/>
        </xdr:cNvCxnSpPr>
      </xdr:nvCxnSpPr>
      <xdr:spPr>
        <a:xfrm rot="10800000">
          <a:off x="4762500" y="1905000"/>
          <a:ext cx="1714501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190499</xdr:colOff>
      <xdr:row>12</xdr:row>
      <xdr:rowOff>0</xdr:rowOff>
    </xdr:from>
    <xdr:to>
      <xdr:col>34</xdr:col>
      <xdr:colOff>1</xdr:colOff>
      <xdr:row>20</xdr:row>
      <xdr:rowOff>0</xdr:rowOff>
    </xdr:to>
    <xdr:cxnSp macro="">
      <xdr:nvCxnSpPr>
        <xdr:cNvPr id="25" name="カギ線コネクタ 24"/>
        <xdr:cNvCxnSpPr>
          <a:stCxn id="9" idx="1"/>
          <a:endCxn id="2" idx="3"/>
        </xdr:cNvCxnSpPr>
      </xdr:nvCxnSpPr>
      <xdr:spPr>
        <a:xfrm rot="10800000">
          <a:off x="4762499" y="1905000"/>
          <a:ext cx="1714502" cy="1524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190499</xdr:colOff>
      <xdr:row>12</xdr:row>
      <xdr:rowOff>0</xdr:rowOff>
    </xdr:from>
    <xdr:to>
      <xdr:col>18</xdr:col>
      <xdr:colOff>0</xdr:colOff>
      <xdr:row>16</xdr:row>
      <xdr:rowOff>0</xdr:rowOff>
    </xdr:to>
    <xdr:cxnSp macro="">
      <xdr:nvCxnSpPr>
        <xdr:cNvPr id="29" name="カギ線コネクタ 28"/>
        <xdr:cNvCxnSpPr>
          <a:stCxn id="4" idx="3"/>
          <a:endCxn id="2" idx="1"/>
        </xdr:cNvCxnSpPr>
      </xdr:nvCxnSpPr>
      <xdr:spPr>
        <a:xfrm flipV="1">
          <a:off x="1714499" y="1905000"/>
          <a:ext cx="1714501" cy="762000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</xdr:row>
      <xdr:rowOff>0</xdr:rowOff>
    </xdr:from>
    <xdr:to>
      <xdr:col>8</xdr:col>
      <xdr:colOff>190499</xdr:colOff>
      <xdr:row>32</xdr:row>
      <xdr:rowOff>0</xdr:rowOff>
    </xdr:to>
    <xdr:sp macro="" textlink="">
      <xdr:nvSpPr>
        <xdr:cNvPr id="30" name="正方形/長方形 29"/>
        <xdr:cNvSpPr/>
      </xdr:nvSpPr>
      <xdr:spPr>
        <a:xfrm>
          <a:off x="381000" y="4191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user</a:t>
          </a:r>
          <a:endParaRPr kumimoji="1" lang="ja-JP" altLang="en-US" sz="1100"/>
        </a:p>
      </xdr:txBody>
    </xdr:sp>
    <xdr:clientData/>
  </xdr:twoCellAnchor>
  <xdr:twoCellAnchor>
    <xdr:from>
      <xdr:col>2</xdr:col>
      <xdr:colOff>1</xdr:colOff>
      <xdr:row>34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31" name="正方形/長方形 30"/>
        <xdr:cNvSpPr/>
      </xdr:nvSpPr>
      <xdr:spPr>
        <a:xfrm>
          <a:off x="381001" y="4953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user_profile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95250</xdr:colOff>
      <xdr:row>32</xdr:row>
      <xdr:rowOff>0</xdr:rowOff>
    </xdr:from>
    <xdr:to>
      <xdr:col>5</xdr:col>
      <xdr:colOff>95251</xdr:colOff>
      <xdr:row>34</xdr:row>
      <xdr:rowOff>0</xdr:rowOff>
    </xdr:to>
    <xdr:cxnSp macro="">
      <xdr:nvCxnSpPr>
        <xdr:cNvPr id="33" name="直線矢印コネクタ 32"/>
        <xdr:cNvCxnSpPr>
          <a:stCxn id="31" idx="0"/>
          <a:endCxn id="30" idx="2"/>
        </xdr:cNvCxnSpPr>
      </xdr:nvCxnSpPr>
      <xdr:spPr>
        <a:xfrm flipH="1" flipV="1">
          <a:off x="1047750" y="4572000"/>
          <a:ext cx="1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30</xdr:row>
      <xdr:rowOff>0</xdr:rowOff>
    </xdr:from>
    <xdr:to>
      <xdr:col>17</xdr:col>
      <xdr:colOff>190499</xdr:colOff>
      <xdr:row>32</xdr:row>
      <xdr:rowOff>0</xdr:rowOff>
    </xdr:to>
    <xdr:sp macro="" textlink="">
      <xdr:nvSpPr>
        <xdr:cNvPr id="34" name="正方形/長方形 33"/>
        <xdr:cNvSpPr/>
      </xdr:nvSpPr>
      <xdr:spPr>
        <a:xfrm>
          <a:off x="1905000" y="4191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group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34</xdr:row>
      <xdr:rowOff>0</xdr:rowOff>
    </xdr:from>
    <xdr:to>
      <xdr:col>17</xdr:col>
      <xdr:colOff>190499</xdr:colOff>
      <xdr:row>36</xdr:row>
      <xdr:rowOff>0</xdr:rowOff>
    </xdr:to>
    <xdr:sp macro="" textlink="">
      <xdr:nvSpPr>
        <xdr:cNvPr id="35" name="正方形/長方形 34"/>
        <xdr:cNvSpPr/>
      </xdr:nvSpPr>
      <xdr:spPr>
        <a:xfrm>
          <a:off x="1905000" y="4953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group_profile</a:t>
          </a:r>
          <a:endParaRPr kumimoji="1" lang="ja-JP" altLang="en-US" sz="1100"/>
        </a:p>
      </xdr:txBody>
    </xdr:sp>
    <xdr:clientData/>
  </xdr:twoCellAnchor>
  <xdr:twoCellAnchor>
    <xdr:from>
      <xdr:col>14</xdr:col>
      <xdr:colOff>95250</xdr:colOff>
      <xdr:row>32</xdr:row>
      <xdr:rowOff>0</xdr:rowOff>
    </xdr:from>
    <xdr:to>
      <xdr:col>14</xdr:col>
      <xdr:colOff>95250</xdr:colOff>
      <xdr:row>34</xdr:row>
      <xdr:rowOff>0</xdr:rowOff>
    </xdr:to>
    <xdr:cxnSp macro="">
      <xdr:nvCxnSpPr>
        <xdr:cNvPr id="36" name="直線矢印コネクタ 35"/>
        <xdr:cNvCxnSpPr>
          <a:stCxn id="35" idx="0"/>
          <a:endCxn id="34" idx="2"/>
        </xdr:cNvCxnSpPr>
      </xdr:nvCxnSpPr>
      <xdr:spPr>
        <a:xfrm flipV="1">
          <a:off x="2571750" y="4572000"/>
          <a:ext cx="0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30</xdr:row>
      <xdr:rowOff>0</xdr:rowOff>
    </xdr:from>
    <xdr:to>
      <xdr:col>26</xdr:col>
      <xdr:colOff>190499</xdr:colOff>
      <xdr:row>32</xdr:row>
      <xdr:rowOff>0</xdr:rowOff>
    </xdr:to>
    <xdr:sp macro="" textlink="">
      <xdr:nvSpPr>
        <xdr:cNvPr id="39" name="正方形/長方形 38"/>
        <xdr:cNvSpPr/>
      </xdr:nvSpPr>
      <xdr:spPr>
        <a:xfrm>
          <a:off x="3429000" y="4191000"/>
          <a:ext cx="1333499" cy="3810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project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0</xdr:rowOff>
    </xdr:from>
    <xdr:to>
      <xdr:col>26</xdr:col>
      <xdr:colOff>190499</xdr:colOff>
      <xdr:row>36</xdr:row>
      <xdr:rowOff>0</xdr:rowOff>
    </xdr:to>
    <xdr:sp macro="" textlink="">
      <xdr:nvSpPr>
        <xdr:cNvPr id="40" name="正方形/長方形 39"/>
        <xdr:cNvSpPr/>
      </xdr:nvSpPr>
      <xdr:spPr>
        <a:xfrm>
          <a:off x="3429000" y="4953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project_profile</a:t>
          </a:r>
          <a:endParaRPr kumimoji="1" lang="ja-JP" altLang="en-US" sz="1100"/>
        </a:p>
      </xdr:txBody>
    </xdr:sp>
    <xdr:clientData/>
  </xdr:twoCellAnchor>
  <xdr:twoCellAnchor>
    <xdr:from>
      <xdr:col>23</xdr:col>
      <xdr:colOff>95250</xdr:colOff>
      <xdr:row>32</xdr:row>
      <xdr:rowOff>0</xdr:rowOff>
    </xdr:from>
    <xdr:to>
      <xdr:col>23</xdr:col>
      <xdr:colOff>95250</xdr:colOff>
      <xdr:row>34</xdr:row>
      <xdr:rowOff>0</xdr:rowOff>
    </xdr:to>
    <xdr:cxnSp macro="">
      <xdr:nvCxnSpPr>
        <xdr:cNvPr id="41" name="直線矢印コネクタ 40"/>
        <xdr:cNvCxnSpPr>
          <a:stCxn id="40" idx="0"/>
          <a:endCxn id="39" idx="2"/>
        </xdr:cNvCxnSpPr>
      </xdr:nvCxnSpPr>
      <xdr:spPr>
        <a:xfrm flipV="1">
          <a:off x="4095750" y="4572000"/>
          <a:ext cx="0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</xdr:row>
      <xdr:rowOff>95250</xdr:rowOff>
    </xdr:from>
    <xdr:to>
      <xdr:col>21</xdr:col>
      <xdr:colOff>0</xdr:colOff>
      <xdr:row>53</xdr:row>
      <xdr:rowOff>95250</xdr:rowOff>
    </xdr:to>
    <xdr:cxnSp macro="">
      <xdr:nvCxnSpPr>
        <xdr:cNvPr id="52" name="直線矢印コネクタ 51"/>
        <xdr:cNvCxnSpPr/>
      </xdr:nvCxnSpPr>
      <xdr:spPr>
        <a:xfrm flipH="1" flipV="1">
          <a:off x="2667000" y="7715250"/>
          <a:ext cx="571500" cy="13335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</xdr:row>
      <xdr:rowOff>95250</xdr:rowOff>
    </xdr:from>
    <xdr:to>
      <xdr:col>21</xdr:col>
      <xdr:colOff>0</xdr:colOff>
      <xdr:row>52</xdr:row>
      <xdr:rowOff>95250</xdr:rowOff>
    </xdr:to>
    <xdr:cxnSp macro="">
      <xdr:nvCxnSpPr>
        <xdr:cNvPr id="55" name="直線矢印コネクタ 54"/>
        <xdr:cNvCxnSpPr/>
      </xdr:nvCxnSpPr>
      <xdr:spPr>
        <a:xfrm flipH="1">
          <a:off x="1714500" y="10001250"/>
          <a:ext cx="22860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</xdr:row>
      <xdr:rowOff>95250</xdr:rowOff>
    </xdr:from>
    <xdr:to>
      <xdr:col>21</xdr:col>
      <xdr:colOff>0</xdr:colOff>
      <xdr:row>60</xdr:row>
      <xdr:rowOff>95250</xdr:rowOff>
    </xdr:to>
    <xdr:cxnSp macro="">
      <xdr:nvCxnSpPr>
        <xdr:cNvPr id="59" name="直線矢印コネクタ 58"/>
        <xdr:cNvCxnSpPr/>
      </xdr:nvCxnSpPr>
      <xdr:spPr>
        <a:xfrm flipH="1" flipV="1">
          <a:off x="1714500" y="10001250"/>
          <a:ext cx="2286000" cy="15240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51</xdr:row>
      <xdr:rowOff>95250</xdr:rowOff>
    </xdr:from>
    <xdr:to>
      <xdr:col>30</xdr:col>
      <xdr:colOff>0</xdr:colOff>
      <xdr:row>51</xdr:row>
      <xdr:rowOff>95250</xdr:rowOff>
    </xdr:to>
    <xdr:cxnSp macro="">
      <xdr:nvCxnSpPr>
        <xdr:cNvPr id="70" name="直線矢印コネクタ 69"/>
        <xdr:cNvCxnSpPr/>
      </xdr:nvCxnSpPr>
      <xdr:spPr>
        <a:xfrm flipH="1">
          <a:off x="4000500" y="8858250"/>
          <a:ext cx="5715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</xdr:row>
      <xdr:rowOff>95250</xdr:rowOff>
    </xdr:from>
    <xdr:to>
      <xdr:col>12</xdr:col>
      <xdr:colOff>0</xdr:colOff>
      <xdr:row>60</xdr:row>
      <xdr:rowOff>95250</xdr:rowOff>
    </xdr:to>
    <xdr:cxnSp macro="">
      <xdr:nvCxnSpPr>
        <xdr:cNvPr id="74" name="直線矢印コネクタ 73"/>
        <xdr:cNvCxnSpPr/>
      </xdr:nvCxnSpPr>
      <xdr:spPr>
        <a:xfrm flipH="1" flipV="1">
          <a:off x="1714500" y="10001250"/>
          <a:ext cx="571500" cy="15240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</xdr:row>
      <xdr:rowOff>95250</xdr:rowOff>
    </xdr:from>
    <xdr:to>
      <xdr:col>30</xdr:col>
      <xdr:colOff>0</xdr:colOff>
      <xdr:row>44</xdr:row>
      <xdr:rowOff>95250</xdr:rowOff>
    </xdr:to>
    <xdr:cxnSp macro="">
      <xdr:nvCxnSpPr>
        <xdr:cNvPr id="76" name="直線矢印コネクタ 75"/>
        <xdr:cNvCxnSpPr/>
      </xdr:nvCxnSpPr>
      <xdr:spPr>
        <a:xfrm flipH="1">
          <a:off x="2667000" y="7715250"/>
          <a:ext cx="19050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45</xdr:row>
      <xdr:rowOff>95250</xdr:rowOff>
    </xdr:from>
    <xdr:to>
      <xdr:col>12</xdr:col>
      <xdr:colOff>0</xdr:colOff>
      <xdr:row>52</xdr:row>
      <xdr:rowOff>95250</xdr:rowOff>
    </xdr:to>
    <xdr:cxnSp macro="">
      <xdr:nvCxnSpPr>
        <xdr:cNvPr id="79" name="直線矢印コネクタ 78"/>
        <xdr:cNvCxnSpPr/>
      </xdr:nvCxnSpPr>
      <xdr:spPr>
        <a:xfrm flipH="1">
          <a:off x="1714500" y="8667750"/>
          <a:ext cx="571500" cy="133350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59</xdr:row>
      <xdr:rowOff>95250</xdr:rowOff>
    </xdr:from>
    <xdr:to>
      <xdr:col>30</xdr:col>
      <xdr:colOff>0</xdr:colOff>
      <xdr:row>59</xdr:row>
      <xdr:rowOff>95250</xdr:rowOff>
    </xdr:to>
    <xdr:cxnSp macro="">
      <xdr:nvCxnSpPr>
        <xdr:cNvPr id="84" name="直線矢印コネクタ 83"/>
        <xdr:cNvCxnSpPr/>
      </xdr:nvCxnSpPr>
      <xdr:spPr>
        <a:xfrm flipH="1">
          <a:off x="5143500" y="10382250"/>
          <a:ext cx="571500" cy="0"/>
        </a:xfrm>
        <a:prstGeom prst="straightConnector1">
          <a:avLst/>
        </a:prstGeom>
        <a:ln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30</xdr:row>
      <xdr:rowOff>0</xdr:rowOff>
    </xdr:from>
    <xdr:to>
      <xdr:col>35</xdr:col>
      <xdr:colOff>190499</xdr:colOff>
      <xdr:row>32</xdr:row>
      <xdr:rowOff>0</xdr:rowOff>
    </xdr:to>
    <xdr:sp macro="" textlink="">
      <xdr:nvSpPr>
        <xdr:cNvPr id="87" name="正方形/長方形 86"/>
        <xdr:cNvSpPr/>
      </xdr:nvSpPr>
      <xdr:spPr>
        <a:xfrm>
          <a:off x="3810000" y="5715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feature</a:t>
          </a:r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34</xdr:row>
      <xdr:rowOff>0</xdr:rowOff>
    </xdr:from>
    <xdr:to>
      <xdr:col>35</xdr:col>
      <xdr:colOff>190499</xdr:colOff>
      <xdr:row>36</xdr:row>
      <xdr:rowOff>0</xdr:rowOff>
    </xdr:to>
    <xdr:sp macro="" textlink="">
      <xdr:nvSpPr>
        <xdr:cNvPr id="88" name="正方形/長方形 87"/>
        <xdr:cNvSpPr/>
      </xdr:nvSpPr>
      <xdr:spPr>
        <a:xfrm>
          <a:off x="3810000" y="6477000"/>
          <a:ext cx="1333499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feature_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</a:t>
          </a:r>
          <a:r>
            <a:rPr lang="en-US" altLang="ja-JP"/>
            <a:t> </a:t>
          </a:r>
          <a:endParaRPr kumimoji="1" lang="ja-JP" altLang="en-US" sz="1100"/>
        </a:p>
      </xdr:txBody>
    </xdr:sp>
    <xdr:clientData/>
  </xdr:twoCellAnchor>
  <xdr:twoCellAnchor>
    <xdr:from>
      <xdr:col>32</xdr:col>
      <xdr:colOff>95250</xdr:colOff>
      <xdr:row>32</xdr:row>
      <xdr:rowOff>0</xdr:rowOff>
    </xdr:from>
    <xdr:to>
      <xdr:col>32</xdr:col>
      <xdr:colOff>95250</xdr:colOff>
      <xdr:row>34</xdr:row>
      <xdr:rowOff>0</xdr:rowOff>
    </xdr:to>
    <xdr:cxnSp macro="">
      <xdr:nvCxnSpPr>
        <xdr:cNvPr id="89" name="直線矢印コネクタ 88"/>
        <xdr:cNvCxnSpPr>
          <a:stCxn id="88" idx="0"/>
          <a:endCxn id="87" idx="2"/>
        </xdr:cNvCxnSpPr>
      </xdr:nvCxnSpPr>
      <xdr:spPr>
        <a:xfrm flipV="1">
          <a:off x="4476750" y="6096000"/>
          <a:ext cx="0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DB"/>
  <dimension ref="B2:AJ64"/>
  <sheetViews>
    <sheetView tabSelected="1" workbookViewId="0">
      <selection activeCell="K52" sqref="K52"/>
    </sheetView>
  </sheetViews>
  <sheetFormatPr defaultColWidth="2.85546875" defaultRowHeight="15" customHeight="1" x14ac:dyDescent="0.15"/>
  <cols>
    <col min="1" max="16384" width="2.85546875" style="60"/>
  </cols>
  <sheetData>
    <row r="2" spans="2:35" ht="15" customHeight="1" x14ac:dyDescent="0.15">
      <c r="B2" s="83" t="s">
        <v>78</v>
      </c>
    </row>
    <row r="4" spans="2:35" ht="15" customHeight="1" x14ac:dyDescent="0.15">
      <c r="B4" s="60" t="s">
        <v>22</v>
      </c>
      <c r="AH4" s="61"/>
    </row>
    <row r="6" spans="2:35" ht="15" customHeight="1" x14ac:dyDescent="0.15">
      <c r="AI6" s="62" t="s">
        <v>16</v>
      </c>
    </row>
    <row r="8" spans="2:35" ht="15" customHeight="1" x14ac:dyDescent="0.15">
      <c r="AH8" s="61"/>
    </row>
    <row r="9" spans="2:35" ht="15" customHeight="1" x14ac:dyDescent="0.15">
      <c r="J9" s="60" t="s">
        <v>15</v>
      </c>
    </row>
    <row r="10" spans="2:35" ht="15" customHeight="1" x14ac:dyDescent="0.15">
      <c r="C10" s="62" t="s">
        <v>21</v>
      </c>
      <c r="AI10" s="62" t="s">
        <v>17</v>
      </c>
    </row>
    <row r="12" spans="2:35" ht="15" customHeight="1" x14ac:dyDescent="0.15">
      <c r="R12" s="61"/>
      <c r="AH12" s="61"/>
    </row>
    <row r="14" spans="2:35" ht="15" customHeight="1" x14ac:dyDescent="0.15">
      <c r="S14" s="62" t="s">
        <v>21</v>
      </c>
      <c r="T14" s="62"/>
      <c r="AI14" s="62" t="s">
        <v>16</v>
      </c>
    </row>
    <row r="15" spans="2:35" ht="15" customHeight="1" x14ac:dyDescent="0.15">
      <c r="E15" s="61"/>
      <c r="G15" s="60" t="s">
        <v>13</v>
      </c>
    </row>
    <row r="16" spans="2:35" ht="15" customHeight="1" x14ac:dyDescent="0.15">
      <c r="AH16" s="61"/>
    </row>
    <row r="17" spans="2:35" ht="15" customHeight="1" x14ac:dyDescent="0.15">
      <c r="J17" s="60" t="s">
        <v>15</v>
      </c>
    </row>
    <row r="18" spans="2:35" ht="15" customHeight="1" x14ac:dyDescent="0.15">
      <c r="C18" s="62" t="s">
        <v>20</v>
      </c>
      <c r="AI18" s="62" t="s">
        <v>17</v>
      </c>
    </row>
    <row r="20" spans="2:35" ht="15" customHeight="1" x14ac:dyDescent="0.15">
      <c r="C20" s="60" t="s">
        <v>24</v>
      </c>
      <c r="AH20" s="61"/>
    </row>
    <row r="21" spans="2:35" ht="15" customHeight="1" x14ac:dyDescent="0.15">
      <c r="C21" s="60" t="s">
        <v>25</v>
      </c>
    </row>
    <row r="22" spans="2:35" ht="15" customHeight="1" x14ac:dyDescent="0.15">
      <c r="C22" s="60" t="s">
        <v>23</v>
      </c>
      <c r="AI22" s="62" t="s">
        <v>18</v>
      </c>
    </row>
    <row r="24" spans="2:35" ht="15" customHeight="1" x14ac:dyDescent="0.15">
      <c r="AD24" s="60" t="s">
        <v>26</v>
      </c>
    </row>
    <row r="25" spans="2:35" ht="15" customHeight="1" x14ac:dyDescent="0.15">
      <c r="AD25" s="60" t="s">
        <v>111</v>
      </c>
    </row>
    <row r="27" spans="2:35" ht="15" customHeight="1" x14ac:dyDescent="0.15">
      <c r="B27" s="83" t="s">
        <v>79</v>
      </c>
    </row>
    <row r="29" spans="2:35" ht="15" customHeight="1" x14ac:dyDescent="0.15">
      <c r="C29" s="60" t="s">
        <v>107</v>
      </c>
    </row>
    <row r="33" spans="2:36" ht="15" customHeight="1" x14ac:dyDescent="0.15">
      <c r="C33" s="62" t="s">
        <v>20</v>
      </c>
      <c r="L33" s="62" t="s">
        <v>20</v>
      </c>
      <c r="U33" s="62" t="s">
        <v>20</v>
      </c>
      <c r="AD33" s="62" t="s">
        <v>20</v>
      </c>
    </row>
    <row r="34" spans="2:36" ht="15" customHeight="1" x14ac:dyDescent="0.15">
      <c r="G34" s="62" t="s">
        <v>77</v>
      </c>
      <c r="P34" s="63" t="s">
        <v>13</v>
      </c>
      <c r="Y34" s="63" t="s">
        <v>15</v>
      </c>
      <c r="AH34" s="63" t="s">
        <v>108</v>
      </c>
    </row>
    <row r="37" spans="2:36" ht="15" customHeight="1" x14ac:dyDescent="0.15">
      <c r="C37" s="62" t="s">
        <v>80</v>
      </c>
      <c r="L37" s="62" t="s">
        <v>81</v>
      </c>
      <c r="U37" s="62" t="s">
        <v>110</v>
      </c>
      <c r="AD37" s="62" t="s">
        <v>109</v>
      </c>
    </row>
    <row r="39" spans="2:36" ht="15" customHeight="1" x14ac:dyDescent="0.15">
      <c r="C39" s="60" t="s">
        <v>82</v>
      </c>
    </row>
    <row r="41" spans="2:36" ht="15" customHeight="1" x14ac:dyDescent="0.15">
      <c r="B41" s="83" t="s">
        <v>106</v>
      </c>
    </row>
    <row r="43" spans="2:36" ht="15" customHeight="1" x14ac:dyDescent="0.15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5" t="s">
        <v>100</v>
      </c>
      <c r="AE43" s="66"/>
      <c r="AF43" s="66"/>
      <c r="AG43" s="66"/>
      <c r="AH43" s="66"/>
      <c r="AI43" s="66"/>
      <c r="AJ43" s="67"/>
    </row>
    <row r="44" spans="2:36" ht="15" customHeight="1" x14ac:dyDescent="0.15">
      <c r="C44" s="64"/>
      <c r="D44" s="64"/>
      <c r="E44" s="64"/>
      <c r="F44" s="64"/>
      <c r="G44" s="64"/>
      <c r="H44" s="64"/>
      <c r="I44" s="64"/>
      <c r="J44" s="64"/>
      <c r="K44" s="64"/>
      <c r="L44" s="65" t="s">
        <v>84</v>
      </c>
      <c r="M44" s="66"/>
      <c r="N44" s="66"/>
      <c r="O44" s="66"/>
      <c r="P44" s="66"/>
      <c r="Q44" s="66"/>
      <c r="R44" s="67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8"/>
      <c r="AE44" s="69" t="s">
        <v>88</v>
      </c>
      <c r="AF44" s="70"/>
      <c r="AG44" s="70"/>
      <c r="AH44" s="70"/>
      <c r="AI44" s="70"/>
      <c r="AJ44" s="71"/>
    </row>
    <row r="45" spans="2:36" ht="15" customHeight="1" x14ac:dyDescent="0.15">
      <c r="C45" s="64"/>
      <c r="D45" s="64"/>
      <c r="E45" s="64"/>
      <c r="F45" s="64"/>
      <c r="G45" s="64"/>
      <c r="H45" s="64"/>
      <c r="I45" s="64"/>
      <c r="J45" s="64"/>
      <c r="K45" s="64"/>
      <c r="L45" s="68"/>
      <c r="M45" s="69" t="s">
        <v>88</v>
      </c>
      <c r="N45" s="70"/>
      <c r="O45" s="70"/>
      <c r="P45" s="70"/>
      <c r="Q45" s="70"/>
      <c r="R45" s="71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8"/>
      <c r="AE45" s="72" t="s">
        <v>103</v>
      </c>
      <c r="AF45" s="73"/>
      <c r="AG45" s="73"/>
      <c r="AH45" s="73"/>
      <c r="AI45" s="73"/>
      <c r="AJ45" s="74"/>
    </row>
    <row r="46" spans="2:36" ht="15" customHeight="1" x14ac:dyDescent="0.15">
      <c r="C46" s="64"/>
      <c r="D46" s="64"/>
      <c r="E46" s="64"/>
      <c r="F46" s="64"/>
      <c r="G46" s="64"/>
      <c r="H46" s="64"/>
      <c r="I46" s="64"/>
      <c r="J46" s="64"/>
      <c r="K46" s="64"/>
      <c r="L46" s="68"/>
      <c r="M46" s="72" t="s">
        <v>95</v>
      </c>
      <c r="N46" s="73"/>
      <c r="O46" s="73"/>
      <c r="P46" s="73"/>
      <c r="Q46" s="73"/>
      <c r="R46" s="7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8"/>
      <c r="AE46" s="75" t="s">
        <v>92</v>
      </c>
      <c r="AF46" s="76"/>
      <c r="AG46" s="76"/>
      <c r="AH46" s="76"/>
      <c r="AI46" s="76"/>
      <c r="AJ46" s="77"/>
    </row>
    <row r="47" spans="2:36" ht="15" customHeight="1" x14ac:dyDescent="0.15">
      <c r="C47" s="64"/>
      <c r="D47" s="64"/>
      <c r="E47" s="64"/>
      <c r="F47" s="64"/>
      <c r="G47" s="64"/>
      <c r="H47" s="64"/>
      <c r="I47" s="64"/>
      <c r="J47" s="64"/>
      <c r="K47" s="64"/>
      <c r="L47" s="78"/>
      <c r="M47" s="75" t="s">
        <v>90</v>
      </c>
      <c r="N47" s="76"/>
      <c r="O47" s="76"/>
      <c r="P47" s="76"/>
      <c r="Q47" s="76"/>
      <c r="R47" s="77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78"/>
      <c r="AE47" s="75" t="s">
        <v>93</v>
      </c>
      <c r="AF47" s="76"/>
      <c r="AG47" s="76"/>
      <c r="AH47" s="76"/>
      <c r="AI47" s="76"/>
      <c r="AJ47" s="77"/>
    </row>
    <row r="48" spans="2:36" ht="15" customHeight="1" x14ac:dyDescent="0.15"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79"/>
      <c r="AJ48" s="79"/>
    </row>
    <row r="49" spans="3:36" ht="15" customHeight="1" x14ac:dyDescent="0.15"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79"/>
      <c r="AJ49" s="79"/>
    </row>
    <row r="50" spans="3:36" ht="15" customHeight="1" x14ac:dyDescent="0.15"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5" t="s">
        <v>86</v>
      </c>
      <c r="AE50" s="66"/>
      <c r="AF50" s="66"/>
      <c r="AG50" s="66"/>
      <c r="AH50" s="66"/>
      <c r="AI50" s="66"/>
      <c r="AJ50" s="67"/>
    </row>
    <row r="51" spans="3:36" ht="15" customHeight="1" x14ac:dyDescent="0.15"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5" t="s">
        <v>85</v>
      </c>
      <c r="V51" s="66"/>
      <c r="W51" s="66"/>
      <c r="X51" s="66"/>
      <c r="Y51" s="66"/>
      <c r="Z51" s="66"/>
      <c r="AA51" s="67"/>
      <c r="AB51" s="64"/>
      <c r="AC51" s="64"/>
      <c r="AD51" s="68"/>
      <c r="AE51" s="69" t="s">
        <v>88</v>
      </c>
      <c r="AF51" s="70"/>
      <c r="AG51" s="70"/>
      <c r="AH51" s="70"/>
      <c r="AI51" s="70"/>
      <c r="AJ51" s="71"/>
    </row>
    <row r="52" spans="3:36" ht="15" customHeight="1" x14ac:dyDescent="0.15">
      <c r="C52" s="65" t="s">
        <v>83</v>
      </c>
      <c r="D52" s="66"/>
      <c r="E52" s="66"/>
      <c r="F52" s="66"/>
      <c r="G52" s="66"/>
      <c r="H52" s="66"/>
      <c r="I52" s="67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8"/>
      <c r="V52" s="69" t="s">
        <v>88</v>
      </c>
      <c r="W52" s="70"/>
      <c r="X52" s="70"/>
      <c r="Y52" s="70"/>
      <c r="Z52" s="70"/>
      <c r="AA52" s="71"/>
      <c r="AB52" s="64"/>
      <c r="AC52" s="64"/>
      <c r="AD52" s="68"/>
      <c r="AE52" s="72" t="s">
        <v>98</v>
      </c>
      <c r="AF52" s="73"/>
      <c r="AG52" s="73"/>
      <c r="AH52" s="73"/>
      <c r="AI52" s="73"/>
      <c r="AJ52" s="74"/>
    </row>
    <row r="53" spans="3:36" ht="15" customHeight="1" x14ac:dyDescent="0.15">
      <c r="C53" s="68"/>
      <c r="D53" s="69" t="s">
        <v>88</v>
      </c>
      <c r="E53" s="70"/>
      <c r="F53" s="70"/>
      <c r="G53" s="70"/>
      <c r="H53" s="70"/>
      <c r="I53" s="71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8"/>
      <c r="V53" s="72" t="s">
        <v>96</v>
      </c>
      <c r="W53" s="73"/>
      <c r="X53" s="73"/>
      <c r="Y53" s="73"/>
      <c r="Z53" s="73"/>
      <c r="AA53" s="74"/>
      <c r="AB53" s="64"/>
      <c r="AC53" s="64"/>
      <c r="AD53" s="68"/>
      <c r="AE53" s="75" t="s">
        <v>92</v>
      </c>
      <c r="AF53" s="76"/>
      <c r="AG53" s="76"/>
      <c r="AH53" s="76"/>
      <c r="AI53" s="76"/>
      <c r="AJ53" s="77"/>
    </row>
    <row r="54" spans="3:36" ht="15" customHeight="1" x14ac:dyDescent="0.15">
      <c r="C54" s="78"/>
      <c r="D54" s="80" t="s">
        <v>89</v>
      </c>
      <c r="E54" s="81"/>
      <c r="F54" s="81"/>
      <c r="G54" s="81"/>
      <c r="H54" s="81"/>
      <c r="I54" s="82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8"/>
      <c r="V54" s="72" t="s">
        <v>97</v>
      </c>
      <c r="W54" s="73"/>
      <c r="X54" s="73"/>
      <c r="Y54" s="73"/>
      <c r="Z54" s="73"/>
      <c r="AA54" s="74"/>
      <c r="AB54" s="64"/>
      <c r="AC54" s="64"/>
      <c r="AD54" s="78"/>
      <c r="AE54" s="75" t="s">
        <v>93</v>
      </c>
      <c r="AF54" s="76"/>
      <c r="AG54" s="76"/>
      <c r="AH54" s="76"/>
      <c r="AI54" s="76"/>
      <c r="AJ54" s="77"/>
    </row>
    <row r="55" spans="3:36" ht="15" customHeight="1" x14ac:dyDescent="0.15">
      <c r="C55" s="64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8"/>
      <c r="V55" s="75" t="s">
        <v>91</v>
      </c>
      <c r="W55" s="76"/>
      <c r="X55" s="76"/>
      <c r="Y55" s="76"/>
      <c r="Z55" s="76"/>
      <c r="AA55" s="77"/>
      <c r="AB55" s="64"/>
      <c r="AC55" s="64"/>
      <c r="AD55" s="64"/>
      <c r="AE55" s="64"/>
      <c r="AF55" s="64"/>
      <c r="AG55" s="64"/>
      <c r="AH55" s="64"/>
      <c r="AI55" s="64"/>
      <c r="AJ55" s="64"/>
    </row>
    <row r="56" spans="3:36" ht="15" customHeight="1" x14ac:dyDescent="0.15">
      <c r="C56" s="60" t="s">
        <v>113</v>
      </c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78"/>
      <c r="V56" s="75" t="s">
        <v>94</v>
      </c>
      <c r="W56" s="76"/>
      <c r="X56" s="76"/>
      <c r="Y56" s="76"/>
      <c r="Z56" s="76"/>
      <c r="AA56" s="77"/>
      <c r="AB56" s="64"/>
      <c r="AC56" s="64"/>
      <c r="AD56" s="64"/>
      <c r="AE56" s="64"/>
      <c r="AF56" s="64"/>
      <c r="AG56" s="64"/>
      <c r="AH56" s="64"/>
      <c r="AI56" s="64"/>
      <c r="AJ56" s="64"/>
    </row>
    <row r="57" spans="3:36" ht="15" customHeight="1" x14ac:dyDescent="0.15">
      <c r="C57" s="64" t="s">
        <v>114</v>
      </c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</row>
    <row r="58" spans="3:36" ht="15" customHeight="1" x14ac:dyDescent="0.15">
      <c r="C58" s="85" t="s">
        <v>115</v>
      </c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5" t="s">
        <v>105</v>
      </c>
      <c r="AE58" s="66"/>
      <c r="AF58" s="66"/>
      <c r="AG58" s="66"/>
      <c r="AH58" s="66"/>
      <c r="AI58" s="66"/>
      <c r="AJ58" s="67"/>
    </row>
    <row r="59" spans="3:36" ht="15" customHeight="1" x14ac:dyDescent="0.15">
      <c r="C59" s="64"/>
      <c r="D59" s="64"/>
      <c r="E59" s="64"/>
      <c r="F59" s="64"/>
      <c r="G59" s="64"/>
      <c r="H59" s="64"/>
      <c r="I59" s="64"/>
      <c r="J59" s="64"/>
      <c r="K59" s="64"/>
      <c r="L59" s="65" t="s">
        <v>101</v>
      </c>
      <c r="M59" s="66"/>
      <c r="N59" s="66"/>
      <c r="O59" s="66"/>
      <c r="P59" s="66"/>
      <c r="Q59" s="66"/>
      <c r="R59" s="67"/>
      <c r="S59" s="64"/>
      <c r="T59" s="64"/>
      <c r="U59" s="65" t="s">
        <v>87</v>
      </c>
      <c r="V59" s="66"/>
      <c r="W59" s="66"/>
      <c r="X59" s="66"/>
      <c r="Y59" s="66"/>
      <c r="Z59" s="66"/>
      <c r="AA59" s="67"/>
      <c r="AB59" s="64"/>
      <c r="AC59" s="64"/>
      <c r="AD59" s="68"/>
      <c r="AE59" s="69" t="s">
        <v>88</v>
      </c>
      <c r="AF59" s="70"/>
      <c r="AG59" s="70"/>
      <c r="AH59" s="70"/>
      <c r="AI59" s="70"/>
      <c r="AJ59" s="71"/>
    </row>
    <row r="60" spans="3:36" ht="15" customHeight="1" x14ac:dyDescent="0.15">
      <c r="C60" s="64"/>
      <c r="D60" s="64"/>
      <c r="E60" s="64"/>
      <c r="F60" s="64"/>
      <c r="G60" s="64"/>
      <c r="H60" s="64"/>
      <c r="I60" s="64"/>
      <c r="J60" s="64"/>
      <c r="K60" s="64"/>
      <c r="L60" s="68"/>
      <c r="M60" s="69" t="s">
        <v>88</v>
      </c>
      <c r="N60" s="70"/>
      <c r="O60" s="70"/>
      <c r="P60" s="70"/>
      <c r="Q60" s="70"/>
      <c r="R60" s="71"/>
      <c r="S60" s="64"/>
      <c r="T60" s="64"/>
      <c r="U60" s="68"/>
      <c r="V60" s="69" t="s">
        <v>88</v>
      </c>
      <c r="W60" s="70"/>
      <c r="X60" s="70"/>
      <c r="Y60" s="70"/>
      <c r="Z60" s="70"/>
      <c r="AA60" s="71"/>
      <c r="AB60" s="64"/>
      <c r="AC60" s="64"/>
      <c r="AD60" s="68"/>
      <c r="AE60" s="72" t="s">
        <v>104</v>
      </c>
      <c r="AF60" s="73"/>
      <c r="AG60" s="73"/>
      <c r="AH60" s="73"/>
      <c r="AI60" s="73"/>
      <c r="AJ60" s="74"/>
    </row>
    <row r="61" spans="3:36" ht="15" customHeight="1" x14ac:dyDescent="0.15">
      <c r="C61" s="64"/>
      <c r="D61" s="64"/>
      <c r="E61" s="64"/>
      <c r="F61" s="64"/>
      <c r="G61" s="64"/>
      <c r="H61" s="64"/>
      <c r="I61" s="64"/>
      <c r="J61" s="64"/>
      <c r="K61" s="64"/>
      <c r="L61" s="68"/>
      <c r="M61" s="72" t="s">
        <v>102</v>
      </c>
      <c r="N61" s="73"/>
      <c r="O61" s="73"/>
      <c r="P61" s="73"/>
      <c r="Q61" s="73"/>
      <c r="R61" s="74"/>
      <c r="S61" s="64"/>
      <c r="T61" s="64"/>
      <c r="U61" s="68"/>
      <c r="V61" s="72" t="s">
        <v>99</v>
      </c>
      <c r="W61" s="73"/>
      <c r="X61" s="73"/>
      <c r="Y61" s="73"/>
      <c r="Z61" s="73"/>
      <c r="AA61" s="74"/>
      <c r="AB61" s="64"/>
      <c r="AC61" s="64"/>
      <c r="AD61" s="68"/>
      <c r="AE61" s="75" t="s">
        <v>92</v>
      </c>
      <c r="AF61" s="76"/>
      <c r="AG61" s="76"/>
      <c r="AH61" s="76"/>
      <c r="AI61" s="76"/>
      <c r="AJ61" s="77"/>
    </row>
    <row r="62" spans="3:36" ht="15" customHeight="1" x14ac:dyDescent="0.15">
      <c r="C62" s="64"/>
      <c r="D62" s="64"/>
      <c r="E62" s="64"/>
      <c r="F62" s="64"/>
      <c r="G62" s="64"/>
      <c r="H62" s="64"/>
      <c r="I62" s="64"/>
      <c r="J62" s="64"/>
      <c r="K62" s="64"/>
      <c r="L62" s="68"/>
      <c r="M62" s="75" t="s">
        <v>92</v>
      </c>
      <c r="N62" s="76"/>
      <c r="O62" s="76"/>
      <c r="P62" s="76"/>
      <c r="Q62" s="76"/>
      <c r="R62" s="77"/>
      <c r="S62" s="64"/>
      <c r="T62" s="64"/>
      <c r="U62" s="68"/>
      <c r="V62" s="75" t="s">
        <v>90</v>
      </c>
      <c r="W62" s="76"/>
      <c r="X62" s="76"/>
      <c r="Y62" s="76"/>
      <c r="Z62" s="76"/>
      <c r="AA62" s="77"/>
      <c r="AB62" s="64"/>
      <c r="AC62" s="64"/>
      <c r="AD62" s="78"/>
      <c r="AE62" s="75" t="s">
        <v>93</v>
      </c>
      <c r="AF62" s="76"/>
      <c r="AG62" s="76"/>
      <c r="AH62" s="76"/>
      <c r="AI62" s="76"/>
      <c r="AJ62" s="77"/>
    </row>
    <row r="63" spans="3:36" ht="15" customHeight="1" x14ac:dyDescent="0.15">
      <c r="C63" s="64"/>
      <c r="D63" s="64"/>
      <c r="E63" s="64"/>
      <c r="F63" s="64"/>
      <c r="G63" s="64"/>
      <c r="H63" s="64"/>
      <c r="I63" s="64"/>
      <c r="J63" s="64"/>
      <c r="K63" s="64"/>
      <c r="L63" s="78"/>
      <c r="M63" s="75" t="s">
        <v>93</v>
      </c>
      <c r="N63" s="76"/>
      <c r="O63" s="76"/>
      <c r="P63" s="76"/>
      <c r="Q63" s="76"/>
      <c r="R63" s="77"/>
      <c r="S63" s="64"/>
      <c r="T63" s="64"/>
      <c r="U63" s="78"/>
      <c r="V63" s="84" t="s">
        <v>112</v>
      </c>
      <c r="W63" s="76"/>
      <c r="X63" s="76"/>
      <c r="Y63" s="76"/>
      <c r="Z63" s="76"/>
      <c r="AA63" s="77"/>
      <c r="AB63" s="64"/>
      <c r="AC63" s="64"/>
      <c r="AD63" s="64"/>
      <c r="AE63" s="64"/>
      <c r="AF63" s="64"/>
      <c r="AG63" s="64"/>
      <c r="AH63" s="64"/>
      <c r="AI63" s="64"/>
      <c r="AJ63" s="64"/>
    </row>
    <row r="64" spans="3:36" ht="15" customHeight="1" x14ac:dyDescent="0.15">
      <c r="C64" s="64"/>
      <c r="D64" s="64"/>
      <c r="E64" s="64"/>
      <c r="F64" s="64"/>
      <c r="G64" s="64"/>
      <c r="H64" s="64"/>
      <c r="I64" s="64"/>
    </row>
  </sheetData>
  <dataConsolidate/>
  <phoneticPr fontId="3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O18"/>
  <sheetViews>
    <sheetView zoomScaleNormal="100" workbookViewId="0">
      <selection activeCell="J30" sqref="J30"/>
    </sheetView>
  </sheetViews>
  <sheetFormatPr defaultColWidth="7.140625" defaultRowHeight="12" x14ac:dyDescent="0.15"/>
  <cols>
    <col min="1" max="1" width="4.5703125" style="8" customWidth="1"/>
    <col min="2" max="3" width="17.140625" style="23" customWidth="1"/>
    <col min="4" max="6" width="10" style="23" customWidth="1"/>
    <col min="7" max="7" width="21.7109375" style="23" bestFit="1" customWidth="1"/>
    <col min="8" max="8" width="9.42578125" style="23" bestFit="1" customWidth="1"/>
    <col min="9" max="9" width="2.28515625" style="23" customWidth="1"/>
    <col min="10" max="11" width="21.42578125" style="59" customWidth="1"/>
    <col min="12" max="15" width="21.42578125" style="23" customWidth="1"/>
    <col min="16" max="16384" width="7.140625" style="23"/>
  </cols>
  <sheetData>
    <row r="1" spans="1:15" s="8" customFormat="1" ht="19.5" customHeight="1" x14ac:dyDescent="0.15">
      <c r="A1" s="5"/>
      <c r="B1" s="6" t="s">
        <v>67</v>
      </c>
      <c r="C1" s="7"/>
      <c r="D1" s="7"/>
      <c r="E1" s="7"/>
      <c r="F1" s="7"/>
      <c r="G1" s="7"/>
      <c r="H1" s="7"/>
      <c r="J1" s="6" t="s">
        <v>6</v>
      </c>
      <c r="K1" s="7"/>
      <c r="L1" s="7"/>
      <c r="M1" s="7"/>
      <c r="N1" s="7"/>
      <c r="O1" s="9"/>
    </row>
    <row r="2" spans="1:15" s="8" customFormat="1" ht="11.25" x14ac:dyDescent="0.15">
      <c r="A2" s="10"/>
      <c r="B2" s="11" t="s">
        <v>3</v>
      </c>
      <c r="C2" s="12" t="s">
        <v>4</v>
      </c>
      <c r="D2" s="12" t="s">
        <v>1</v>
      </c>
      <c r="E2" s="12" t="s">
        <v>38</v>
      </c>
      <c r="F2" s="12" t="s">
        <v>39</v>
      </c>
      <c r="G2" s="12" t="s">
        <v>40</v>
      </c>
      <c r="H2" s="13" t="s">
        <v>41</v>
      </c>
      <c r="J2" s="14" t="s">
        <v>68</v>
      </c>
      <c r="K2" s="15" t="s">
        <v>70</v>
      </c>
      <c r="L2" s="15" t="s">
        <v>71</v>
      </c>
      <c r="M2" s="15" t="s">
        <v>73</v>
      </c>
      <c r="N2" s="15" t="s">
        <v>74</v>
      </c>
      <c r="O2" s="15" t="s">
        <v>75</v>
      </c>
    </row>
    <row r="3" spans="1:15" s="23" customFormat="1" ht="12" customHeight="1" x14ac:dyDescent="0.15">
      <c r="A3" s="16" t="s">
        <v>5</v>
      </c>
      <c r="B3" s="17" t="s">
        <v>0</v>
      </c>
      <c r="C3" s="18" t="s">
        <v>47</v>
      </c>
      <c r="D3" s="19" t="s">
        <v>69</v>
      </c>
      <c r="E3" s="20" t="s">
        <v>52</v>
      </c>
      <c r="F3" s="20" t="s">
        <v>53</v>
      </c>
      <c r="G3" s="21" t="s">
        <v>65</v>
      </c>
      <c r="H3" s="22" t="s">
        <v>65</v>
      </c>
      <c r="J3" s="24" t="str">
        <f>"CREATE TABLE "&amp;$C3&amp;"("</f>
        <v>CREATE TABLE user(</v>
      </c>
      <c r="K3" s="25" t="str">
        <f>"DROP TABLE "&amp;$C3&amp;";"</f>
        <v>DROP TABLE user;</v>
      </c>
      <c r="L3" s="25" t="str">
        <f>"INSERT INTO "&amp;$C3&amp;"("</f>
        <v>INSERT INTO user(</v>
      </c>
      <c r="M3" s="25" t="str">
        <f>"UPDATE "&amp;$C3&amp;" SET "</f>
        <v xml:space="preserve">UPDATE user SET </v>
      </c>
      <c r="N3" s="25" t="str">
        <f>"DELETE "&amp;$C3&amp;" WHERE ...;"</f>
        <v>DELETE user WHERE ...;</v>
      </c>
      <c r="O3" s="26" t="str">
        <f>"SELECT "</f>
        <v xml:space="preserve">SELECT </v>
      </c>
    </row>
    <row r="4" spans="1:15" s="23" customFormat="1" ht="11.25" customHeight="1" x14ac:dyDescent="0.15">
      <c r="A4" s="27"/>
      <c r="B4" s="28" t="s">
        <v>64</v>
      </c>
      <c r="C4" s="29" t="s">
        <v>19</v>
      </c>
      <c r="D4" s="30" t="s">
        <v>27</v>
      </c>
      <c r="E4" s="31" t="s">
        <v>54</v>
      </c>
      <c r="F4" s="31" t="s">
        <v>54</v>
      </c>
      <c r="G4" s="32"/>
      <c r="H4" s="33"/>
      <c r="J4" s="34" t="str">
        <f>"    "&amp;$C4&amp;" "&amp;D4&amp;IF(E4="○"," "&amp;E$3,"")&amp;IF(F4="○"," "&amp;F$3,"")&amp;IF(G4&lt;&gt;""," "&amp;G4,"")&amp;IF(H4&lt;&gt;""," "&amp;H4,"")&amp;IF(OR(LEFT(J3,1)="C",$C5=""),"",",")</f>
        <v xml:space="preserve">    id NUMERIC UNIQUE NOT NULL</v>
      </c>
      <c r="K4" s="35"/>
      <c r="L4" s="34" t="str">
        <f>"    "&amp;$C4&amp;IF(OR(LEFT(L3,1)="C",$C5=""),"",",")</f>
        <v xml:space="preserve">    id,</v>
      </c>
      <c r="M4" s="34" t="str">
        <f>"    "&amp;$C4&amp;" = "&amp;IF(OR(D4="TEXT",D4="NONE"),"'...'","...")&amp;IF(OR(LEFT(M3,1)="C",$C5=""),"",",")</f>
        <v xml:space="preserve">    id = ...,</v>
      </c>
      <c r="N4" s="36"/>
      <c r="O4" s="37" t="str">
        <f>"    "&amp;$C4&amp;IF(OR(LEFT(O3,1)="C",$C5=""),"",",")</f>
        <v xml:space="preserve">    id,</v>
      </c>
    </row>
    <row r="5" spans="1:15" s="23" customFormat="1" x14ac:dyDescent="0.15">
      <c r="A5" s="27"/>
      <c r="B5" s="38" t="s">
        <v>28</v>
      </c>
      <c r="C5" s="39" t="s">
        <v>14</v>
      </c>
      <c r="D5" s="40" t="s">
        <v>7</v>
      </c>
      <c r="E5" s="41" t="s">
        <v>54</v>
      </c>
      <c r="F5" s="41" t="s">
        <v>54</v>
      </c>
      <c r="G5" s="42"/>
      <c r="H5" s="43"/>
      <c r="J5" s="34" t="str">
        <f t="shared" ref="J5:L17" si="0">"    "&amp;$C5&amp;" "&amp;D5&amp;IF(E5="○"," "&amp;E$3,"")&amp;IF(F5="○"," "&amp;F$3,"")&amp;IF(G5&lt;&gt;""," "&amp;G5,"")&amp;IF(H5&lt;&gt;""," "&amp;H5,"")&amp;IF(OR(LEFT(J4,1)="C",$C6=""),"",",")</f>
        <v xml:space="preserve">    user_id TEXT UNIQUE NOT NULL,</v>
      </c>
      <c r="K5" s="35"/>
      <c r="L5" s="34" t="str">
        <f t="shared" ref="L5:O17" si="1">"    "&amp;$C5&amp;IF(OR(LEFT(L4,1)="C",$C6=""),"",",")</f>
        <v xml:space="preserve">    user_id,</v>
      </c>
      <c r="M5" s="34" t="str">
        <f t="shared" ref="M5:M17" si="2">"    "&amp;$C5&amp;" = "&amp;IF(OR(D5="TEXT",D5="NONE"),"'...'","...")&amp;IF(OR(LEFT(M4,1)="C",$C6=""),"",",")</f>
        <v xml:space="preserve">    user_id = '...',</v>
      </c>
      <c r="N5" s="36"/>
      <c r="O5" s="37" t="str">
        <f t="shared" si="1"/>
        <v xml:space="preserve">    user_id,</v>
      </c>
    </row>
    <row r="6" spans="1:15" s="23" customFormat="1" x14ac:dyDescent="0.15">
      <c r="A6" s="27"/>
      <c r="B6" s="38" t="s">
        <v>29</v>
      </c>
      <c r="C6" s="39" t="s">
        <v>42</v>
      </c>
      <c r="D6" s="40" t="s">
        <v>7</v>
      </c>
      <c r="E6" s="41"/>
      <c r="F6" s="41" t="s">
        <v>54</v>
      </c>
      <c r="G6" s="42"/>
      <c r="H6" s="43"/>
      <c r="J6" s="34" t="str">
        <f t="shared" si="0"/>
        <v xml:space="preserve">    password TEXT NOT NULL,</v>
      </c>
      <c r="K6" s="35"/>
      <c r="L6" s="34" t="str">
        <f t="shared" si="1"/>
        <v xml:space="preserve">    password,</v>
      </c>
      <c r="M6" s="34" t="str">
        <f t="shared" si="2"/>
        <v xml:space="preserve">    password = '...',</v>
      </c>
      <c r="N6" s="36"/>
      <c r="O6" s="37" t="str">
        <f t="shared" si="1"/>
        <v xml:space="preserve">    password,</v>
      </c>
    </row>
    <row r="7" spans="1:15" s="23" customFormat="1" x14ac:dyDescent="0.15">
      <c r="A7" s="27"/>
      <c r="B7" s="38" t="s">
        <v>30</v>
      </c>
      <c r="C7" s="39" t="s">
        <v>43</v>
      </c>
      <c r="D7" s="40" t="s">
        <v>7</v>
      </c>
      <c r="E7" s="41"/>
      <c r="F7" s="41"/>
      <c r="G7" s="42"/>
      <c r="H7" s="43"/>
      <c r="J7" s="34" t="str">
        <f t="shared" si="0"/>
        <v xml:space="preserve">    password_log1 TEXT,</v>
      </c>
      <c r="K7" s="35"/>
      <c r="L7" s="34" t="str">
        <f t="shared" si="1"/>
        <v xml:space="preserve">    password_log1,</v>
      </c>
      <c r="M7" s="34" t="str">
        <f t="shared" si="2"/>
        <v xml:space="preserve">    password_log1 = '...',</v>
      </c>
      <c r="N7" s="36"/>
      <c r="O7" s="37" t="str">
        <f t="shared" si="1"/>
        <v xml:space="preserve">    password_log1,</v>
      </c>
    </row>
    <row r="8" spans="1:15" s="23" customFormat="1" x14ac:dyDescent="0.15">
      <c r="A8" s="27"/>
      <c r="B8" s="38" t="s">
        <v>31</v>
      </c>
      <c r="C8" s="39" t="s">
        <v>44</v>
      </c>
      <c r="D8" s="40" t="s">
        <v>7</v>
      </c>
      <c r="E8" s="41"/>
      <c r="F8" s="41"/>
      <c r="G8" s="42"/>
      <c r="H8" s="43"/>
      <c r="J8" s="34" t="str">
        <f t="shared" si="0"/>
        <v xml:space="preserve">    password_log2 TEXT,</v>
      </c>
      <c r="K8" s="35"/>
      <c r="L8" s="34" t="str">
        <f t="shared" si="1"/>
        <v xml:space="preserve">    password_log2,</v>
      </c>
      <c r="M8" s="34" t="str">
        <f t="shared" si="2"/>
        <v xml:space="preserve">    password_log2 = '...',</v>
      </c>
      <c r="N8" s="36"/>
      <c r="O8" s="37" t="str">
        <f t="shared" si="1"/>
        <v xml:space="preserve">    password_log2,</v>
      </c>
    </row>
    <row r="9" spans="1:15" s="23" customFormat="1" x14ac:dyDescent="0.15">
      <c r="A9" s="27"/>
      <c r="B9" s="38" t="s">
        <v>32</v>
      </c>
      <c r="C9" s="39" t="s">
        <v>45</v>
      </c>
      <c r="D9" s="40" t="s">
        <v>7</v>
      </c>
      <c r="E9" s="41"/>
      <c r="F9" s="41"/>
      <c r="G9" s="42"/>
      <c r="H9" s="43"/>
      <c r="J9" s="34" t="str">
        <f t="shared" si="0"/>
        <v xml:space="preserve">    password_log3 TEXT,</v>
      </c>
      <c r="K9" s="35"/>
      <c r="L9" s="34" t="str">
        <f t="shared" si="1"/>
        <v xml:space="preserve">    password_log3,</v>
      </c>
      <c r="M9" s="34" t="str">
        <f t="shared" si="2"/>
        <v xml:space="preserve">    password_log3 = '...',</v>
      </c>
      <c r="N9" s="36"/>
      <c r="O9" s="37" t="str">
        <f t="shared" si="1"/>
        <v xml:space="preserve">    password_log3,</v>
      </c>
    </row>
    <row r="10" spans="1:15" s="23" customFormat="1" x14ac:dyDescent="0.15">
      <c r="A10" s="27"/>
      <c r="B10" s="44" t="s">
        <v>46</v>
      </c>
      <c r="C10" s="45" t="s">
        <v>37</v>
      </c>
      <c r="D10" s="42" t="s">
        <v>7</v>
      </c>
      <c r="E10" s="46"/>
      <c r="F10" s="46"/>
      <c r="G10" s="42"/>
      <c r="H10" s="47"/>
      <c r="J10" s="34" t="str">
        <f t="shared" si="0"/>
        <v xml:space="preserve">    lost_logined_at TEXT,</v>
      </c>
      <c r="K10" s="35"/>
      <c r="L10" s="34" t="str">
        <f t="shared" si="1"/>
        <v xml:space="preserve">    lost_logined_at,</v>
      </c>
      <c r="M10" s="34" t="str">
        <f t="shared" si="2"/>
        <v xml:space="preserve">    lost_logined_at = '...',</v>
      </c>
      <c r="N10" s="36"/>
      <c r="O10" s="37" t="str">
        <f t="shared" si="1"/>
        <v xml:space="preserve">    lost_logined_at,</v>
      </c>
    </row>
    <row r="11" spans="1:15" s="23" customFormat="1" x14ac:dyDescent="0.15">
      <c r="A11" s="27"/>
      <c r="B11" s="44" t="s">
        <v>59</v>
      </c>
      <c r="C11" s="45" t="s">
        <v>55</v>
      </c>
      <c r="D11" s="42" t="s">
        <v>7</v>
      </c>
      <c r="E11" s="46"/>
      <c r="F11" s="46"/>
      <c r="G11" s="42"/>
      <c r="H11" s="47"/>
      <c r="J11" s="34" t="str">
        <f t="shared" si="0"/>
        <v xml:space="preserve">    first_name TEXT,</v>
      </c>
      <c r="K11" s="35"/>
      <c r="L11" s="34" t="str">
        <f t="shared" si="1"/>
        <v xml:space="preserve">    first_name,</v>
      </c>
      <c r="M11" s="34" t="str">
        <f t="shared" si="2"/>
        <v xml:space="preserve">    first_name = '...',</v>
      </c>
      <c r="N11" s="36"/>
      <c r="O11" s="37" t="str">
        <f t="shared" si="1"/>
        <v xml:space="preserve">    first_name,</v>
      </c>
    </row>
    <row r="12" spans="1:15" s="23" customFormat="1" x14ac:dyDescent="0.15">
      <c r="A12" s="27"/>
      <c r="B12" s="44" t="s">
        <v>60</v>
      </c>
      <c r="C12" s="45" t="s">
        <v>56</v>
      </c>
      <c r="D12" s="42" t="s">
        <v>7</v>
      </c>
      <c r="E12" s="46"/>
      <c r="F12" s="46"/>
      <c r="G12" s="42"/>
      <c r="H12" s="47"/>
      <c r="J12" s="34" t="str">
        <f t="shared" si="0"/>
        <v xml:space="preserve">    middle_name TEXT,</v>
      </c>
      <c r="K12" s="35"/>
      <c r="L12" s="34" t="str">
        <f t="shared" si="1"/>
        <v xml:space="preserve">    middle_name,</v>
      </c>
      <c r="M12" s="34" t="str">
        <f t="shared" si="2"/>
        <v xml:space="preserve">    middle_name = '...',</v>
      </c>
      <c r="N12" s="36"/>
      <c r="O12" s="37" t="str">
        <f t="shared" si="1"/>
        <v xml:space="preserve">    middle_name,</v>
      </c>
    </row>
    <row r="13" spans="1:15" s="23" customFormat="1" x14ac:dyDescent="0.15">
      <c r="A13" s="27"/>
      <c r="B13" s="44" t="s">
        <v>58</v>
      </c>
      <c r="C13" s="45" t="s">
        <v>57</v>
      </c>
      <c r="D13" s="42" t="s">
        <v>7</v>
      </c>
      <c r="E13" s="46"/>
      <c r="F13" s="46"/>
      <c r="G13" s="42"/>
      <c r="H13" s="47"/>
      <c r="J13" s="34" t="str">
        <f t="shared" si="0"/>
        <v xml:space="preserve">    family_name TEXT,</v>
      </c>
      <c r="K13" s="35"/>
      <c r="L13" s="34" t="str">
        <f t="shared" si="1"/>
        <v xml:space="preserve">    family_name,</v>
      </c>
      <c r="M13" s="34" t="str">
        <f t="shared" si="2"/>
        <v xml:space="preserve">    family_name = '...',</v>
      </c>
      <c r="N13" s="36"/>
      <c r="O13" s="37" t="str">
        <f t="shared" si="1"/>
        <v xml:space="preserve">    family_name,</v>
      </c>
    </row>
    <row r="14" spans="1:15" s="23" customFormat="1" ht="12.75" x14ac:dyDescent="0.15">
      <c r="A14" s="27"/>
      <c r="B14" s="44" t="s">
        <v>61</v>
      </c>
      <c r="C14" s="45" t="s">
        <v>62</v>
      </c>
      <c r="D14" s="42" t="s">
        <v>7</v>
      </c>
      <c r="E14" s="46"/>
      <c r="F14" s="48" t="s">
        <v>54</v>
      </c>
      <c r="G14" s="42"/>
      <c r="H14" s="47"/>
      <c r="J14" s="34" t="str">
        <f t="shared" si="0"/>
        <v xml:space="preserve">    display_name TEXT NOT NULL,</v>
      </c>
      <c r="K14" s="35"/>
      <c r="L14" s="34" t="str">
        <f t="shared" si="1"/>
        <v xml:space="preserve">    display_name,</v>
      </c>
      <c r="M14" s="34" t="str">
        <f t="shared" si="2"/>
        <v xml:space="preserve">    display_name = '...',</v>
      </c>
      <c r="N14" s="36"/>
      <c r="O14" s="37" t="str">
        <f t="shared" si="1"/>
        <v xml:space="preserve">    display_name,</v>
      </c>
    </row>
    <row r="15" spans="1:15" s="23" customFormat="1" x14ac:dyDescent="0.15">
      <c r="A15" s="27"/>
      <c r="B15" s="44" t="s">
        <v>48</v>
      </c>
      <c r="C15" s="45" t="s">
        <v>49</v>
      </c>
      <c r="D15" s="42" t="s">
        <v>7</v>
      </c>
      <c r="E15" s="46"/>
      <c r="F15" s="46"/>
      <c r="G15" s="42"/>
      <c r="H15" s="47"/>
      <c r="J15" s="34" t="str">
        <f t="shared" si="0"/>
        <v xml:space="preserve">    e_mail TEXT,</v>
      </c>
      <c r="K15" s="35"/>
      <c r="L15" s="34" t="str">
        <f t="shared" si="1"/>
        <v xml:space="preserve">    e_mail,</v>
      </c>
      <c r="M15" s="34" t="str">
        <f t="shared" si="2"/>
        <v xml:space="preserve">    e_mail = '...',</v>
      </c>
      <c r="N15" s="36"/>
      <c r="O15" s="37" t="str">
        <f t="shared" si="1"/>
        <v xml:space="preserve">    e_mail,</v>
      </c>
    </row>
    <row r="16" spans="1:15" s="23" customFormat="1" ht="12.75" x14ac:dyDescent="0.15">
      <c r="A16" s="27"/>
      <c r="B16" s="44" t="s">
        <v>35</v>
      </c>
      <c r="C16" s="45" t="s">
        <v>33</v>
      </c>
      <c r="D16" s="42" t="s">
        <v>7</v>
      </c>
      <c r="E16" s="46"/>
      <c r="F16" s="48" t="s">
        <v>54</v>
      </c>
      <c r="G16" s="42" t="s">
        <v>63</v>
      </c>
      <c r="H16" s="47"/>
      <c r="J16" s="34" t="str">
        <f t="shared" si="0"/>
        <v xml:space="preserve">    created_at TEXT NOT NULL DEFAULT datetime('now'),</v>
      </c>
      <c r="K16" s="35"/>
      <c r="L16" s="34" t="str">
        <f t="shared" si="1"/>
        <v xml:space="preserve">    created_at,</v>
      </c>
      <c r="M16" s="34" t="str">
        <f t="shared" si="2"/>
        <v xml:space="preserve">    created_at = '...',</v>
      </c>
      <c r="N16" s="36"/>
      <c r="O16" s="37" t="str">
        <f t="shared" si="1"/>
        <v xml:space="preserve">    created_at,</v>
      </c>
    </row>
    <row r="17" spans="1:15" s="23" customFormat="1" ht="12.75" x14ac:dyDescent="0.15">
      <c r="A17" s="27"/>
      <c r="B17" s="44" t="s">
        <v>36</v>
      </c>
      <c r="C17" s="45" t="s">
        <v>34</v>
      </c>
      <c r="D17" s="42" t="s">
        <v>7</v>
      </c>
      <c r="E17" s="46"/>
      <c r="F17" s="48" t="s">
        <v>54</v>
      </c>
      <c r="G17" s="42" t="s">
        <v>63</v>
      </c>
      <c r="H17" s="47"/>
      <c r="J17" s="34" t="str">
        <f t="shared" si="0"/>
        <v xml:space="preserve">    updated_at TEXT NOT NULL DEFAULT datetime('now')</v>
      </c>
      <c r="K17" s="35"/>
      <c r="L17" s="34" t="str">
        <f t="shared" si="1"/>
        <v xml:space="preserve">    updated_at</v>
      </c>
      <c r="M17" s="34" t="str">
        <f t="shared" si="2"/>
        <v xml:space="preserve">    updated_at = '...'</v>
      </c>
      <c r="N17" s="36"/>
      <c r="O17" s="37" t="str">
        <f t="shared" si="1"/>
        <v xml:space="preserve">    updated_at</v>
      </c>
    </row>
    <row r="18" spans="1:15" s="23" customFormat="1" x14ac:dyDescent="0.15">
      <c r="A18" s="27"/>
      <c r="B18" s="49"/>
      <c r="C18" s="50"/>
      <c r="D18" s="50"/>
      <c r="E18" s="51"/>
      <c r="F18" s="52"/>
      <c r="G18" s="50"/>
      <c r="H18" s="53"/>
      <c r="J18" s="54" t="s">
        <v>66</v>
      </c>
      <c r="K18" s="55"/>
      <c r="L18" s="56" t="s">
        <v>72</v>
      </c>
      <c r="M18" s="56" t="s">
        <v>76</v>
      </c>
      <c r="N18" s="57"/>
      <c r="O18" s="58" t="str">
        <f>" FROM "&amp;$C3&amp;" WHERE ...;"</f>
        <v xml:space="preserve"> FROM user WHERE ...;</v>
      </c>
    </row>
  </sheetData>
  <dataConsolidate/>
  <mergeCells count="4">
    <mergeCell ref="J1:O1"/>
    <mergeCell ref="A3:A18"/>
    <mergeCell ref="A1:A2"/>
    <mergeCell ref="B1:H1"/>
  </mergeCells>
  <phoneticPr fontId="3"/>
  <dataValidations count="3">
    <dataValidation type="list" allowBlank="1" showInputMessage="1" showErrorMessage="1" sqref="D4:D17">
      <formula1>型</formula1>
    </dataValidation>
    <dataValidation type="list" allowBlank="1" showInputMessage="1" prompt="DEFAULT value_x000a_CHECK(expression)" sqref="G5:G17">
      <formula1>制約</formula1>
    </dataValidation>
    <dataValidation type="list" allowBlank="1" showInputMessage="1" sqref="F4:F7 F16:F17 F14 E4:E6">
      <formula1>"○"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ition"/>
  <dimension ref="A1:B7"/>
  <sheetViews>
    <sheetView workbookViewId="0">
      <selection activeCell="F23" sqref="F23"/>
    </sheetView>
  </sheetViews>
  <sheetFormatPr defaultRowHeight="12" x14ac:dyDescent="0.15"/>
  <cols>
    <col min="2" max="2" width="18.140625" bestFit="1" customWidth="1"/>
  </cols>
  <sheetData>
    <row r="1" spans="1:2" x14ac:dyDescent="0.15">
      <c r="A1" s="3" t="s">
        <v>1</v>
      </c>
      <c r="B1" s="4" t="s">
        <v>2</v>
      </c>
    </row>
    <row r="2" spans="1:2" x14ac:dyDescent="0.15">
      <c r="A2" s="1" t="s">
        <v>8</v>
      </c>
      <c r="B2" s="1" t="s">
        <v>51</v>
      </c>
    </row>
    <row r="3" spans="1:2" x14ac:dyDescent="0.15">
      <c r="A3" s="1" t="s">
        <v>9</v>
      </c>
      <c r="B3" s="1" t="s">
        <v>50</v>
      </c>
    </row>
    <row r="4" spans="1:2" x14ac:dyDescent="0.15">
      <c r="A4" s="1" t="s">
        <v>10</v>
      </c>
      <c r="B4" s="2"/>
    </row>
    <row r="5" spans="1:2" x14ac:dyDescent="0.15">
      <c r="A5" s="1" t="s">
        <v>11</v>
      </c>
    </row>
    <row r="6" spans="1:2" x14ac:dyDescent="0.15">
      <c r="A6" s="1" t="s">
        <v>12</v>
      </c>
    </row>
    <row r="7" spans="1:2" x14ac:dyDescent="0.15">
      <c r="A7" s="2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RDB</vt:lpstr>
      <vt:lpstr>Tables</vt:lpstr>
      <vt:lpstr>Definition</vt:lpstr>
      <vt:lpstr>型</vt:lpstr>
      <vt:lpstr>制約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FASOL</dc:creator>
  <cp:lastModifiedBy>FASOL</cp:lastModifiedBy>
  <dcterms:created xsi:type="dcterms:W3CDTF">2013-08-30T00:31:21Z</dcterms:created>
  <dcterms:modified xsi:type="dcterms:W3CDTF">2013-08-30T08:47:27Z</dcterms:modified>
</cp:coreProperties>
</file>